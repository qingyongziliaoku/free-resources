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8201323e0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算汇总" sheetId="1" r:id="Ree0d42cdf06c43f0"/>
    <x:sheet xmlns:r="http://schemas.openxmlformats.org/officeDocument/2006/relationships" name="成员设置" sheetId="2" r:id="R8a656db515aa48ed"/>
    <x:sheet xmlns:r="http://schemas.openxmlformats.org/officeDocument/2006/relationships" name="费用明细" sheetId="3" r:id="Rc3c7df9965604dcb"/>
    <x:sheet xmlns:r="http://schemas.openxmlformats.org/officeDocument/2006/relationships" name="三人示例" sheetId="4" r:id="R122f6213321f4b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-#,##0.00;0.00"/>
    <x:numFmt numFmtId="202" formatCode="0"/>
  </x:numFmts>
  <x:fonts count="7">
    <x:font>
      <x:sz val="11"/>
      <x:name val="Carlito"/>
    </x:font>
    <x:font>
      <x:sz val="11"/>
      <x:color rgb="FF203745"/>
      <x:name val="Noto Sans CJK SC"/>
    </x:font>
    <x:font>
      <x:b/>
      <x:sz val="17"/>
      <x:color rgb="FF173D54"/>
      <x:name val="Noto Sans CJK SC"/>
    </x:font>
    <x:font>
      <x:sz val="10"/>
      <x:color rgb="FF607684"/>
      <x:name val="Noto Sans CJK SC"/>
    </x:font>
    <x:font>
      <x:b/>
      <x:sz val="11"/>
      <x:color rgb="FFFFFFFF"/>
      <x:name val="Noto Sans CJK SC"/>
    </x:font>
    <x:font>
      <x:sz val="11"/>
      <x:color rgb="FF17654E"/>
      <x:name val="Noto Sans CJK SC"/>
    </x:font>
    <x:font>
      <x:b/>
      <x:sz val="11"/>
      <x:color rgb="FF203745"/>
      <x:name val="Noto Sans CJK SC"/>
    </x:font>
  </x:fonts>
  <x:fills count="7">
    <x:fill>
      <x:patternFill patternType="none"/>
    </x:fill>
    <x:fill>
      <x:patternFill patternType="gray125"/>
    </x:fill>
    <x:fill>
      <x:patternFill patternType="solid">
        <x:fgColor rgb="FFEAF4FF"/>
      </x:patternFill>
    </x:fill>
    <x:fill>
      <x:patternFill patternType="solid">
        <x:fgColor rgb="FF173D54"/>
      </x:patternFill>
    </x:fill>
    <x:fill>
      <x:patternFill patternType="solid">
        <x:fgColor rgb="FFE9F6EF"/>
      </x:patternFill>
    </x:fill>
    <x:fill>
      <x:patternFill patternType="solid">
        <x:fgColor rgb="FFF3F6F8"/>
      </x:patternFill>
    </x:fill>
    <x:fill>
      <x:patternFill patternType="solid">
        <x:fgColor rgb="FFDCE9EE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1" fontId="6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AC2E25"/>
      </x:font>
      <x:fill>
        <x:patternFill patternType="solid">
          <x:bgColor rgb="FFFCE8E6"/>
        </x:patternFill>
      </x:fill>
    </x:dxf>
    <x:dxf>
      <x:font>
        <x:b/>
        <x:color rgb="FFAC2E25"/>
      </x:font>
      <x:fill>
        <x:patternFill patternType="solid">
          <x:bgColor rgb="FFFCE8E6"/>
        </x:patternFill>
      </x:fill>
    </x:dxf>
    <x:dxf>
      <x:font>
        <x:b/>
        <x:color rgb="FFAC2E25"/>
      </x:font>
      <x:fill>
        <x:patternFill patternType="solid">
          <x:bgColor rgb="FFFCE8E6"/>
        </x:patternFill>
      </x:fill>
    </x:dxf>
    <x:dxf>
      <x:font>
        <x:b/>
        <x:color rgb="FFAC2E25"/>
      </x:font>
      <x:fill>
        <x:patternFill patternType="solid">
          <x:bgColor rgb="FFFCE8E6"/>
        </x:patternFill>
      </x:fill>
    </x:dxf>
    <x:dxf>
      <x:font>
        <x:b/>
        <x:color rgb="FFAC2E25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3e4d808ac4cd2" /><Relationship Type="http://schemas.openxmlformats.org/officeDocument/2006/relationships/theme" Target="/xl/theme/theme1.xml" Id="Rb15720f1afff4fc7" /><Relationship Type="http://schemas.openxmlformats.org/officeDocument/2006/relationships/sharedStrings" Target="/xl/sharedStrings.xml" Id="R12df103f30114928" /><Relationship Type="http://schemas.openxmlformats.org/officeDocument/2006/relationships/worksheet" Target="/xl/worksheets/sheet1.xml" Id="Ree0d42cdf06c43f0" /><Relationship Type="http://schemas.openxmlformats.org/officeDocument/2006/relationships/worksheet" Target="/xl/worksheets/sheet2.xml" Id="R8a656db515aa48ed" /><Relationship Type="http://schemas.openxmlformats.org/officeDocument/2006/relationships/worksheet" Target="/xl/worksheets/sheet3.xml" Id="Rc3c7df9965604dcb" /><Relationship Type="http://schemas.openxmlformats.org/officeDocument/2006/relationships/worksheet" Target="/xl/worksheets/sheet4.xml" Id="R122f6213321f4b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D54"/>
  </x:sheetPr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35" customHeight="1">
      <x:c r="A2" s="3" t="str">
        <x:v>多人出游 AA 结算</x:v>
      </x:c>
      <x:c r="B2" s="2"/>
      <x:c r="C2" s="2"/>
      <x:c r="D2" s="2"/>
      <x:c r="E2" s="2"/>
      <x:c r="F2" s="2"/>
      <x:c r="G2" s="2"/>
      <x:c r="H2" s="2"/>
    </x:row>
    <x:row r="3" ht="26" customHeight="1">
      <x:c r="A3" s="4" t="str">
        <x:v>先填成员设置，再记费用明细。此页自动汇总；下方金额均为统一币种。</x:v>
      </x:c>
      <x:c r="B3" s="2"/>
      <x:c r="C3" s="2"/>
      <x:c r="D3" s="2"/>
      <x:c r="E3" s="2"/>
      <x:c r="F3" s="2"/>
      <x:c r="G3" s="2"/>
      <x:c r="H3" s="2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26" customHeight="1">
      <x:c r="A5" s="2" t="str">
        <x:v>币种</x:v>
      </x:c>
      <x:c r="B5" s="2" t="str">
        <x:f>'成员设置'!B5</x:f>
        <x:v>人民币 CNY</x:v>
      </x:c>
      <x:c r="C5" s="2"/>
      <x:c r="D5" s="2" t="str">
        <x:v>已计入总额</x:v>
      </x:c>
      <x:c r="E5" s="18" t="n">
        <x:f>SUM('费用明细'!P8:P107)/100</x:f>
        <x:v>0</x:v>
      </x:c>
      <x:c r="F5" s="2"/>
      <x:c r="G5" s="2"/>
      <x:c r="H5" s="2"/>
    </x:row>
    <x:row r="6" ht="26" customHeight="1">
      <x:c r="A6" s="2" t="str">
        <x:v>已计入笔数</x:v>
      </x:c>
      <x:c r="B6" s="2" t="n">
        <x:f>COUNTIFS('费用明细'!N8:N107,"已计入")</x:f>
        <x:v>0</x:v>
      </x:c>
      <x:c r="C6" s="2"/>
      <x:c r="D6" s="2" t="str">
        <x:v>待修正笔数</x:v>
      </x:c>
      <x:c r="E6" s="2" t="n">
        <x:f>SUMPRODUCT(('费用明细'!N8:N107&lt;&gt;"")*('费用明细'!N8:N107&lt;&gt;"已计入"))</x:f>
        <x:v>0</x:v>
      </x:c>
      <x:c r="F6" s="2"/>
      <x:c r="G6" s="2"/>
      <x:c r="H6" s="2"/>
    </x:row>
    <x:row r="7" ht="26" customHeight="1">
      <x:c r="A7" s="2"/>
      <x:c r="B7" s="2"/>
      <x:c r="C7" s="2"/>
      <x:c r="D7" s="2"/>
      <x:c r="E7" s="2"/>
      <x:c r="F7" s="2"/>
      <x:c r="G7" s="2"/>
      <x:c r="H7" s="2"/>
    </x:row>
    <x:row r="8" ht="26" customHeight="1">
      <x:c r="A8" s="2" t="str">
        <x:f>IF('成员设置'!B18&lt;2,"请先设置2至8位成员",IF(COUNTIFS('成员设置'!C9:C16,"可用")&lt;&gt;'成员设置'!B18,"请先修正成员昵称",IF(E6&gt;0,"有未计入记录，请先修正再结算",IF(B6=0,"尚未记账，可先查看三人示例","记录已计入，请核对后结算"))))</x:f>
        <x:v>请先设置2至8位成员</x:v>
      </x:c>
      <x:c r="B8" s="2"/>
      <x:c r="C8" s="2"/>
      <x:c r="D8" s="2"/>
      <x:c r="E8" s="2"/>
      <x:c r="F8" s="2"/>
      <x:c r="G8" s="2"/>
      <x:c r="H8" s="2"/>
    </x:row>
    <x:row r="9" ht="26" customHeight="1">
      <x:c r="A9" s="2"/>
      <x:c r="B9" s="2"/>
      <x:c r="C9" s="2"/>
      <x:c r="D9" s="2"/>
      <x:c r="E9" s="2"/>
      <x:c r="F9" s="2"/>
      <x:c r="G9" s="2"/>
      <x:c r="H9" s="2"/>
    </x:row>
    <x:row r="10" ht="35" customHeight="1">
      <x:c r="A10" s="9" t="str">
        <x:v>成员</x:v>
      </x:c>
      <x:c r="B10" s="9" t="str">
        <x:v>已付款</x:v>
      </x:c>
      <x:c r="C10" s="9" t="str">
        <x:v>应分摊</x:v>
      </x:c>
      <x:c r="D10" s="9" t="str">
        <x:v>净额</x:v>
      </x:c>
      <x:c r="E10" s="9" t="str">
        <x:v>应收</x:v>
      </x:c>
      <x:c r="F10" s="9" t="str">
        <x:v>应付</x:v>
      </x:c>
      <x:c r="G10" s="2"/>
      <x:c r="H10" s="2"/>
    </x:row>
    <x:row r="11" ht="26" customHeight="1">
      <x:c r="A11" s="13" t="str">
        <x:f>IF('成员设置'!B9="","",'成员设置'!B9)</x:f>
      </x:c>
      <x:c r="B11" s="16" t="str">
        <x:f>IF(A11="","",SUMIFS('费用明细'!$P$8:$P$107,'费用明细'!$D$8:$D$107,A11)/100)</x:f>
      </x:c>
      <x:c r="C11" s="16" t="str">
        <x:f>IF(A11="","",SUM('费用明细'!S8:S107))</x:f>
      </x:c>
      <x:c r="D11" s="16" t="str">
        <x:f>IF(A11="","",ROUND(B11-C11,2))</x:f>
      </x:c>
      <x:c r="E11" s="16" t="str">
        <x:f>IF(A11="","",MAX(D11,0))</x:f>
      </x:c>
      <x:c r="F11" s="16" t="str">
        <x:f>IF(A11="","",MAX(-D11,0))</x:f>
      </x:c>
      <x:c r="G11" s="2"/>
      <x:c r="H11" s="2"/>
    </x:row>
    <x:row r="12" ht="26" customHeight="1">
      <x:c r="A12" s="2" t="str">
        <x:f>IF('成员设置'!B10="","",'成员设置'!B10)</x:f>
      </x:c>
      <x:c r="B12" s="18" t="str">
        <x:f>IF(A12="","",SUMIFS('费用明细'!$P$8:$P$107,'费用明细'!$D$8:$D$107,A12)/100)</x:f>
      </x:c>
      <x:c r="C12" s="18" t="str">
        <x:f>IF(A12="","",SUM('费用明细'!T8:T107))</x:f>
      </x:c>
      <x:c r="D12" s="18" t="str">
        <x:f>IF(A12="","",ROUND(B12-C12,2))</x:f>
      </x:c>
      <x:c r="E12" s="18" t="str">
        <x:f>IF(A12="","",MAX(D12,0))</x:f>
      </x:c>
      <x:c r="F12" s="18" t="str">
        <x:f>IF(A12="","",MAX(-D12,0))</x:f>
      </x:c>
      <x:c r="G12" s="2"/>
      <x:c r="H12" s="2"/>
    </x:row>
    <x:row r="13" ht="26" customHeight="1">
      <x:c r="A13" s="13" t="str">
        <x:f>IF('成员设置'!B11="","",'成员设置'!B11)</x:f>
      </x:c>
      <x:c r="B13" s="16" t="str">
        <x:f>IF(A13="","",SUMIFS('费用明细'!$P$8:$P$107,'费用明细'!$D$8:$D$107,A13)/100)</x:f>
      </x:c>
      <x:c r="C13" s="16" t="str">
        <x:f>IF(A13="","",SUM('费用明细'!U8:U107))</x:f>
      </x:c>
      <x:c r="D13" s="16" t="str">
        <x:f>IF(A13="","",ROUND(B13-C13,2))</x:f>
      </x:c>
      <x:c r="E13" s="16" t="str">
        <x:f>IF(A13="","",MAX(D13,0))</x:f>
      </x:c>
      <x:c r="F13" s="16" t="str">
        <x:f>IF(A13="","",MAX(-D13,0))</x:f>
      </x:c>
      <x:c r="G13" s="2"/>
      <x:c r="H13" s="2"/>
    </x:row>
    <x:row r="14" ht="26" customHeight="1">
      <x:c r="A14" s="2" t="str">
        <x:f>IF('成员设置'!B12="","",'成员设置'!B12)</x:f>
      </x:c>
      <x:c r="B14" s="18" t="str">
        <x:f>IF(A14="","",SUMIFS('费用明细'!$P$8:$P$107,'费用明细'!$D$8:$D$107,A14)/100)</x:f>
      </x:c>
      <x:c r="C14" s="18" t="str">
        <x:f>IF(A14="","",SUM('费用明细'!V8:V107))</x:f>
      </x:c>
      <x:c r="D14" s="18" t="str">
        <x:f>IF(A14="","",ROUND(B14-C14,2))</x:f>
      </x:c>
      <x:c r="E14" s="18" t="str">
        <x:f>IF(A14="","",MAX(D14,0))</x:f>
      </x:c>
      <x:c r="F14" s="18" t="str">
        <x:f>IF(A14="","",MAX(-D14,0))</x:f>
      </x:c>
      <x:c r="G14" s="2"/>
      <x:c r="H14" s="2"/>
    </x:row>
    <x:row r="15" ht="26" customHeight="1">
      <x:c r="A15" s="13" t="str">
        <x:f>IF('成员设置'!B13="","",'成员设置'!B13)</x:f>
      </x:c>
      <x:c r="B15" s="16" t="str">
        <x:f>IF(A15="","",SUMIFS('费用明细'!$P$8:$P$107,'费用明细'!$D$8:$D$107,A15)/100)</x:f>
      </x:c>
      <x:c r="C15" s="16" t="str">
        <x:f>IF(A15="","",SUM('费用明细'!W8:W107))</x:f>
      </x:c>
      <x:c r="D15" s="16" t="str">
        <x:f>IF(A15="","",ROUND(B15-C15,2))</x:f>
      </x:c>
      <x:c r="E15" s="16" t="str">
        <x:f>IF(A15="","",MAX(D15,0))</x:f>
      </x:c>
      <x:c r="F15" s="16" t="str">
        <x:f>IF(A15="","",MAX(-D15,0))</x:f>
      </x:c>
      <x:c r="G15" s="2"/>
      <x:c r="H15" s="2"/>
    </x:row>
    <x:row r="16" ht="26" customHeight="1">
      <x:c r="A16" s="2" t="str">
        <x:f>IF('成员设置'!B14="","",'成员设置'!B14)</x:f>
      </x:c>
      <x:c r="B16" s="18" t="str">
        <x:f>IF(A16="","",SUMIFS('费用明细'!$P$8:$P$107,'费用明细'!$D$8:$D$107,A16)/100)</x:f>
      </x:c>
      <x:c r="C16" s="18" t="str">
        <x:f>IF(A16="","",SUM('费用明细'!X8:X107))</x:f>
      </x:c>
      <x:c r="D16" s="18" t="str">
        <x:f>IF(A16="","",ROUND(B16-C16,2))</x:f>
      </x:c>
      <x:c r="E16" s="18" t="str">
        <x:f>IF(A16="","",MAX(D16,0))</x:f>
      </x:c>
      <x:c r="F16" s="18" t="str">
        <x:f>IF(A16="","",MAX(-D16,0))</x:f>
      </x:c>
      <x:c r="G16" s="2"/>
      <x:c r="H16" s="2"/>
    </x:row>
    <x:row r="17" ht="26" customHeight="1">
      <x:c r="A17" s="13" t="str">
        <x:f>IF('成员设置'!B15="","",'成员设置'!B15)</x:f>
      </x:c>
      <x:c r="B17" s="16" t="str">
        <x:f>IF(A17="","",SUMIFS('费用明细'!$P$8:$P$107,'费用明细'!$D$8:$D$107,A17)/100)</x:f>
      </x:c>
      <x:c r="C17" s="16" t="str">
        <x:f>IF(A17="","",SUM('费用明细'!Y8:Y107))</x:f>
      </x:c>
      <x:c r="D17" s="16" t="str">
        <x:f>IF(A17="","",ROUND(B17-C17,2))</x:f>
      </x:c>
      <x:c r="E17" s="16" t="str">
        <x:f>IF(A17="","",MAX(D17,0))</x:f>
      </x:c>
      <x:c r="F17" s="16" t="str">
        <x:f>IF(A17="","",MAX(-D17,0))</x:f>
      </x:c>
      <x:c r="G17" s="2"/>
      <x:c r="H17" s="2"/>
    </x:row>
    <x:row r="18" ht="26" customHeight="1">
      <x:c r="A18" s="2" t="str">
        <x:f>IF('成员设置'!B16="","",'成员设置'!B16)</x:f>
      </x:c>
      <x:c r="B18" s="18" t="str">
        <x:f>IF(A18="","",SUMIFS('费用明细'!$P$8:$P$107,'费用明细'!$D$8:$D$107,A18)/100)</x:f>
      </x:c>
      <x:c r="C18" s="18" t="str">
        <x:f>IF(A18="","",SUM('费用明细'!Z8:Z107))</x:f>
      </x:c>
      <x:c r="D18" s="18" t="str">
        <x:f>IF(A18="","",ROUND(B18-C18,2))</x:f>
      </x:c>
      <x:c r="E18" s="18" t="str">
        <x:f>IF(A18="","",MAX(D18,0))</x:f>
      </x:c>
      <x:c r="F18" s="18" t="str">
        <x:f>IF(A18="","",MAX(-D18,0))</x:f>
      </x:c>
      <x:c r="G18" s="2"/>
      <x:c r="H18" s="2"/>
    </x:row>
    <x:row r="19" ht="26" customHeight="1">
      <x:c r="A19" s="20" t="str">
        <x:v>合计</x:v>
      </x:c>
      <x:c r="B19" s="21" t="n">
        <x:f>SUM(B11:B18)</x:f>
        <x:v>0</x:v>
      </x:c>
      <x:c r="C19" s="21" t="n">
        <x:f>SUM(C11:C18)</x:f>
        <x:v>0</x:v>
      </x:c>
      <x:c r="D19" s="21" t="n">
        <x:f>SUM(D11:D18)</x:f>
        <x:v>0</x:v>
      </x:c>
      <x:c r="E19" s="21" t="n">
        <x:f>SUM(E11:E18)</x:f>
        <x:v>0</x:v>
      </x:c>
      <x:c r="F19" s="21" t="n">
        <x:f>SUM(F11:F18)</x:f>
        <x:v>0</x:v>
      </x:c>
      <x:c r="G19" s="2"/>
      <x:c r="H19" s="2"/>
    </x:row>
    <x:row r="20" ht="26" customHeight="1">
      <x:c r="A20" s="2"/>
      <x:c r="B20" s="2"/>
      <x:c r="C20" s="2"/>
      <x:c r="D20" s="2"/>
      <x:c r="E20" s="2"/>
      <x:c r="F20" s="2"/>
      <x:c r="G20" s="2"/>
      <x:c r="H20" s="2"/>
    </x:row>
    <x:row r="21" ht="26" customHeight="1">
      <x:c r="A21" s="4" t="str">
        <x:v>净额为正：应收回。净额为负：还需支付。此表不指定向谁转账。</x:v>
      </x:c>
      <x:c r="B21" s="2"/>
      <x:c r="C21" s="2"/>
      <x:c r="D21" s="2"/>
      <x:c r="E21" s="2"/>
      <x:c r="F21" s="2"/>
      <x:c r="G21" s="2"/>
      <x:c r="H21" s="2"/>
    </x:row>
    <x:row r="22" ht="26" customHeight="1">
      <x:c r="A22" s="2"/>
      <x:c r="B22" s="2"/>
      <x:c r="C22" s="2"/>
      <x:c r="D22" s="2"/>
      <x:c r="E22" s="2"/>
      <x:c r="F22" s="2"/>
      <x:c r="G22" s="2"/>
      <x:c r="H22" s="2"/>
    </x:row>
    <x:row r="23" ht="35" customHeight="1">
      <x:c r="A23" s="9" t="str">
        <x:v>核对项目</x:v>
      </x:c>
      <x:c r="B23" s="9" t="str">
        <x:v>差额应为0</x:v>
      </x:c>
      <x:c r="C23" s="2"/>
      <x:c r="D23" s="2"/>
      <x:c r="E23" s="2"/>
      <x:c r="F23" s="2"/>
      <x:c r="G23" s="2"/>
      <x:c r="H23" s="2"/>
    </x:row>
    <x:row r="24" ht="26" customHeight="1">
      <x:c r="A24" s="2" t="str">
        <x:v>付款与分摊</x:v>
      </x:c>
      <x:c r="B24" s="18" t="n">
        <x:f>ROUND(B19-C19,2)</x:f>
        <x:v>0</x:v>
      </x:c>
      <x:c r="C24" s="2"/>
      <x:c r="D24" s="4" t="str">
        <x:v>核对差额为0也要确认没有待修正记录。</x:v>
      </x:c>
      <x:c r="E24" s="2"/>
      <x:c r="F24" s="2"/>
      <x:c r="G24" s="2"/>
      <x:c r="H24" s="2"/>
    </x:row>
    <x:row r="25" ht="26" customHeight="1">
      <x:c r="A25" s="2" t="str">
        <x:v>净额合计</x:v>
      </x:c>
      <x:c r="B25" s="18" t="n">
        <x:f>ROUND(D19,2)</x:f>
        <x:v>0</x:v>
      </x:c>
      <x:c r="C25" s="2"/>
      <x:c r="D25" s="2"/>
      <x:c r="E25" s="2"/>
      <x:c r="F25" s="2"/>
      <x:c r="G25" s="2"/>
      <x:c r="H25" s="2"/>
    </x:row>
    <x:row r="26" ht="26" customHeight="1">
      <x:c r="A26" s="2" t="str">
        <x:v>应收与应付</x:v>
      </x:c>
      <x:c r="B26" s="18" t="n">
        <x:f>ROUND(E19-F19,2)</x:f>
        <x:v>0</x:v>
      </x:c>
      <x:c r="C26" s="2"/>
      <x:c r="D26" s="4" t="str">
        <x:v>转账结清不会自动改变本表。</x:v>
      </x:c>
      <x:c r="E26" s="2"/>
      <x:c r="F26" s="2"/>
      <x:c r="G26" s="2"/>
      <x:c r="H26" s="2"/>
    </x:row>
    <x:row r="27" ht="26" customHeight="1">
      <x:c r="A27" s="2" t="str">
        <x:v>分摊与总额</x:v>
      </x:c>
      <x:c r="B27" s="18" t="n">
        <x:f>ROUND(C19-E5,2)</x:f>
        <x:v>0</x:v>
      </x:c>
      <x:c r="C27" s="2"/>
      <x:c r="D27" s="4" t="str">
        <x:v>不要把结算转账再录为旅行费用。</x:v>
      </x:c>
      <x:c r="E27" s="2"/>
      <x:c r="F27" s="2"/>
      <x:c r="G27" s="2"/>
      <x:c r="H27" s="2"/>
    </x:row>
    <x:row r="28" ht="26" customHeight="1">
      <x:c r="A28" s="2"/>
      <x:c r="B28" s="2"/>
      <x:c r="C28" s="2"/>
      <x:c r="D28" s="2"/>
      <x:c r="E28" s="2"/>
      <x:c r="F28" s="2"/>
      <x:c r="G28" s="2"/>
      <x:c r="H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</x:row>
  </x:sheetData>
  <x:conditionalFormatting sqref="A8:F8">
    <x:cfRule type="expression" dxfId="3" priority="1">
      <x:formula>OR($E$6&gt;0,'成员设置'!$B$18&lt;2,COUNTIFS('成员设置'!$C$9:$C$16,"可用")&lt;&gt;'成员设置'!$B$18)</x:formula>
    </x:cfRule>
  </x:conditionalFormatting>
  <x:conditionalFormatting sqref="B24:B27">
    <x:cfRule type="expression" dxfId="4" priority="2">
      <x:formula>B24&lt;&gt;0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9C8E"/>
  </x:sheetPr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27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35" customHeight="1">
      <x:c r="A2" s="3" t="str">
        <x:v>成员设置</x:v>
      </x:c>
      <x:c r="B2" s="2"/>
      <x:c r="C2" s="2"/>
      <x:c r="D2" s="2"/>
      <x:c r="E2" s="2"/>
      <x:c r="F2" s="2"/>
    </x:row>
    <x:row r="3" ht="26" customHeight="1">
      <x:c r="A3" s="4" t="str">
        <x:v>先填写 2 至 8 位成员，再到费用明细记账。蓝色、绿色区域可编辑。</x:v>
      </x:c>
      <x:c r="B3" s="2"/>
      <x:c r="C3" s="2"/>
      <x:c r="D3" s="2"/>
      <x:c r="E3" s="2"/>
      <x:c r="F3" s="2"/>
    </x:row>
    <x:row r="4" ht="26" customHeight="1">
      <x:c r="A4" s="2"/>
      <x:c r="B4" s="2"/>
      <x:c r="C4" s="2"/>
      <x:c r="D4" s="2"/>
      <x:c r="E4" s="2"/>
      <x:c r="F4" s="2"/>
    </x:row>
    <x:row r="5" ht="26" customHeight="1">
      <x:c r="A5" s="2" t="str">
        <x:v>币种</x:v>
      </x:c>
      <x:c r="B5" s="5" t="str">
        <x:v>人民币 CNY</x:v>
      </x:c>
      <x:c r="C5" s="4" t="str">
        <x:v>手动填写统一币种，不自动换汇</x:v>
      </x:c>
      <x:c r="D5" s="2"/>
      <x:c r="E5" s="2"/>
      <x:c r="F5" s="2"/>
    </x:row>
    <x:row r="6" ht="26" customHeight="1">
      <x:c r="A6" s="2"/>
      <x:c r="B6" s="2"/>
      <x:c r="C6" s="2"/>
      <x:c r="D6" s="2"/>
      <x:c r="E6" s="2"/>
      <x:c r="F6" s="2"/>
    </x:row>
    <x:row r="7" ht="26" customHeight="1">
      <x:c r="A7" s="2"/>
      <x:c r="B7" s="2"/>
      <x:c r="C7" s="2"/>
      <x:c r="D7" s="2"/>
      <x:c r="E7" s="2"/>
      <x:c r="F7" s="2"/>
    </x:row>
    <x:row r="8" ht="35" customHeight="1">
      <x:c r="A8" s="9" t="str">
        <x:v>序号</x:v>
      </x:c>
      <x:c r="B8" s="9" t="str">
        <x:v>成员昵称</x:v>
      </x:c>
      <x:c r="C8" s="9" t="str">
        <x:v>输入提示</x:v>
      </x:c>
      <x:c r="D8" s="2"/>
      <x:c r="E8" s="2"/>
      <x:c r="F8" s="2"/>
    </x:row>
    <x:row r="9" ht="26" customHeight="1">
      <x:c r="A9" s="2" t="n">
        <x:v>1</x:v>
      </x:c>
      <x:c r="B9" s="11"/>
      <x:c r="C9" s="2" t="str">
        <x:f>IF(B9="","",IF(LEN(B9)&gt;8,"昵称最多8个字",IF(B9&lt;&gt;TRIM(B9),"去掉首尾空格",IF(OR(ISNUMBER(SEARCH("~*",B9)),ISNUMBER(SEARCH("~?",B9)),ISNUMBER(SEARCH("~~",B9))),"勿用星号问号波浪号",IF(COUNTIFS($B$9:$B$16,B9)&gt;1,"重名，请区分","可用")))))</x:f>
      </x:c>
      <x:c r="D9" s="2"/>
      <x:c r="E9" s="2"/>
      <x:c r="F9" s="2"/>
    </x:row>
    <x:row r="10" ht="26" customHeight="1">
      <x:c r="A10" s="2" t="n">
        <x:v>2</x:v>
      </x:c>
      <x:c r="B10" s="11"/>
      <x:c r="C10" s="2" t="str">
        <x:f>IF(B10="","",IF(LEN(B10)&gt;8,"昵称最多8个字",IF(B10&lt;&gt;TRIM(B10),"去掉首尾空格",IF(OR(ISNUMBER(SEARCH("~*",B10)),ISNUMBER(SEARCH("~?",B10)),ISNUMBER(SEARCH("~~",B10))),"勿用星号问号波浪号",IF(COUNTIFS($B$9:$B$16,B10)&gt;1,"重名，请区分","可用")))))</x:f>
      </x:c>
      <x:c r="D10" s="2"/>
      <x:c r="E10" s="2"/>
      <x:c r="F10" s="2"/>
    </x:row>
    <x:row r="11" ht="26" customHeight="1">
      <x:c r="A11" s="2" t="n">
        <x:v>3</x:v>
      </x:c>
      <x:c r="B11" s="11"/>
      <x:c r="C11" s="2" t="str">
        <x:f>IF(B11="","",IF(LEN(B11)&gt;8,"昵称最多8个字",IF(B11&lt;&gt;TRIM(B11),"去掉首尾空格",IF(OR(ISNUMBER(SEARCH("~*",B11)),ISNUMBER(SEARCH("~?",B11)),ISNUMBER(SEARCH("~~",B11))),"勿用星号问号波浪号",IF(COUNTIFS($B$9:$B$16,B11)&gt;1,"重名，请区分","可用")))))</x:f>
      </x:c>
      <x:c r="D11" s="2"/>
      <x:c r="E11" s="2"/>
      <x:c r="F11" s="2"/>
    </x:row>
    <x:row r="12" ht="26" customHeight="1">
      <x:c r="A12" s="2" t="n">
        <x:v>4</x:v>
      </x:c>
      <x:c r="B12" s="11"/>
      <x:c r="C12" s="2" t="str">
        <x:f>IF(B12="","",IF(LEN(B12)&gt;8,"昵称最多8个字",IF(B12&lt;&gt;TRIM(B12),"去掉首尾空格",IF(OR(ISNUMBER(SEARCH("~*",B12)),ISNUMBER(SEARCH("~?",B12)),ISNUMBER(SEARCH("~~",B12))),"勿用星号问号波浪号",IF(COUNTIFS($B$9:$B$16,B12)&gt;1,"重名，请区分","可用")))))</x:f>
      </x:c>
      <x:c r="D12" s="2"/>
      <x:c r="E12" s="2"/>
      <x:c r="F12" s="2"/>
    </x:row>
    <x:row r="13" ht="26" customHeight="1">
      <x:c r="A13" s="2" t="n">
        <x:v>5</x:v>
      </x:c>
      <x:c r="B13" s="11"/>
      <x:c r="C13" s="2" t="str">
        <x:f>IF(B13="","",IF(LEN(B13)&gt;8,"昵称最多8个字",IF(B13&lt;&gt;TRIM(B13),"去掉首尾空格",IF(OR(ISNUMBER(SEARCH("~*",B13)),ISNUMBER(SEARCH("~?",B13)),ISNUMBER(SEARCH("~~",B13))),"勿用星号问号波浪号",IF(COUNTIFS($B$9:$B$16,B13)&gt;1,"重名，请区分","可用")))))</x:f>
      </x:c>
      <x:c r="D13" s="2"/>
      <x:c r="E13" s="2"/>
      <x:c r="F13" s="2"/>
    </x:row>
    <x:row r="14" ht="26" customHeight="1">
      <x:c r="A14" s="2" t="n">
        <x:v>6</x:v>
      </x:c>
      <x:c r="B14" s="11"/>
      <x:c r="C14" s="2" t="str">
        <x:f>IF(B14="","",IF(LEN(B14)&gt;8,"昵称最多8个字",IF(B14&lt;&gt;TRIM(B14),"去掉首尾空格",IF(OR(ISNUMBER(SEARCH("~*",B14)),ISNUMBER(SEARCH("~?",B14)),ISNUMBER(SEARCH("~~",B14))),"勿用星号问号波浪号",IF(COUNTIFS($B$9:$B$16,B14)&gt;1,"重名，请区分","可用")))))</x:f>
      </x:c>
      <x:c r="D14" s="2"/>
      <x:c r="E14" s="2"/>
      <x:c r="F14" s="2"/>
    </x:row>
    <x:row r="15" ht="26" customHeight="1">
      <x:c r="A15" s="2" t="n">
        <x:v>7</x:v>
      </x:c>
      <x:c r="B15" s="11"/>
      <x:c r="C15" s="2" t="str">
        <x:f>IF(B15="","",IF(LEN(B15)&gt;8,"昵称最多8个字",IF(B15&lt;&gt;TRIM(B15),"去掉首尾空格",IF(OR(ISNUMBER(SEARCH("~*",B15)),ISNUMBER(SEARCH("~?",B15)),ISNUMBER(SEARCH("~~",B15))),"勿用星号问号波浪号",IF(COUNTIFS($B$9:$B$16,B15)&gt;1,"重名，请区分","可用")))))</x:f>
      </x:c>
      <x:c r="D15" s="2"/>
      <x:c r="E15" s="2"/>
      <x:c r="F15" s="2"/>
    </x:row>
    <x:row r="16" ht="26" customHeight="1">
      <x:c r="A16" s="2" t="n">
        <x:v>8</x:v>
      </x:c>
      <x:c r="B16" s="11"/>
      <x:c r="C16" s="2" t="str">
        <x:f>IF(B16="","",IF(LEN(B16)&gt;8,"昵称最多8个字",IF(B16&lt;&gt;TRIM(B16),"去掉首尾空格",IF(OR(ISNUMBER(SEARCH("~*",B16)),ISNUMBER(SEARCH("~?",B16)),ISNUMBER(SEARCH("~~",B16))),"勿用星号问号波浪号",IF(COUNTIFS($B$9:$B$16,B16)&gt;1,"重名，请区分","可用")))))</x:f>
      </x:c>
      <x:c r="D16" s="2"/>
      <x:c r="E16" s="2"/>
      <x:c r="F16" s="2"/>
    </x:row>
    <x:row r="17" ht="26" customHeight="1">
      <x:c r="A17" s="2"/>
      <x:c r="B17" s="2"/>
      <x:c r="C17" s="2"/>
      <x:c r="D17" s="2"/>
      <x:c r="E17" s="2"/>
      <x:c r="F17" s="2"/>
    </x:row>
    <x:row r="18" ht="26" customHeight="1">
      <x:c r="A18" s="2" t="str">
        <x:v>人数</x:v>
      </x:c>
      <x:c r="B18" s="2" t="n">
        <x:f>COUNTA(B9:B16)</x:f>
        <x:v>0</x:v>
      </x:c>
      <x:c r="C18" s="2"/>
      <x:c r="D18" s="2"/>
      <x:c r="E18" s="2"/>
      <x:c r="F18" s="2"/>
    </x:row>
    <x:row r="19" ht="26" customHeight="1">
      <x:c r="A19" s="2"/>
      <x:c r="B19" s="2"/>
      <x:c r="C19" s="2"/>
      <x:c r="D19" s="2"/>
      <x:c r="E19" s="2"/>
      <x:c r="F19" s="2"/>
    </x:row>
    <x:row r="20" ht="26" customHeight="1">
      <x:c r="A20" s="2" t="str">
        <x:f>IF(B18&lt;2,"请至少填写2位成员",IF(COUNTIFS(C9:C16,"可用")&lt;&gt;B18,"请先修正成员昵称","成员设置完成"))</x:f>
        <x:v>请至少填写2位成员</x:v>
      </x:c>
      <x:c r="B20" s="2"/>
      <x:c r="C20" s="2"/>
      <x:c r="D20" s="2"/>
      <x:c r="E20" s="2"/>
      <x:c r="F20" s="2"/>
    </x:row>
    <x:row r="21" ht="26" customHeight="1">
      <x:c r="A21" s="2"/>
      <x:c r="B21" s="2"/>
      <x:c r="C21" s="2"/>
      <x:c r="D21" s="2"/>
      <x:c r="E21" s="2"/>
      <x:c r="F21" s="2"/>
    </x:row>
    <x:row r="22" ht="26" customHeight="1">
      <x:c r="A22" s="4" t="str">
        <x:v>记账后不要调换成员位置。改昵称时，请同步修改费用明细的付款人。</x:v>
      </x:c>
      <x:c r="B22" s="2"/>
      <x:c r="C22" s="2"/>
      <x:c r="D22" s="2"/>
      <x:c r="E22" s="2"/>
      <x:c r="F22" s="2"/>
    </x:row>
    <x:row r="23" ht="26" customHeight="1">
      <x:c r="A23" s="4" t="str">
        <x:v>新增成员可填空位；已经参与记账的成员不要删除。昵称最长8个字。</x:v>
      </x:c>
      <x:c r="B23" s="2"/>
      <x:c r="C23" s="2"/>
      <x:c r="D23" s="2"/>
      <x:c r="E23" s="2"/>
      <x:c r="F23" s="2"/>
    </x:row>
    <x:row r="24" ht="26" customHeight="1">
      <x:c r="A24" s="4" t="str">
        <x:v>每次出游另存一份空白模板。实际转账请自行协商，并单独留好凭证。</x:v>
      </x:c>
      <x:c r="B24" s="2"/>
      <x:c r="C24" s="2"/>
      <x:c r="D24" s="2"/>
      <x:c r="E24" s="2"/>
      <x:c r="F24" s="2"/>
    </x:row>
    <x:row r="25" ht="26" customHeight="1">
      <x:c r="A25" s="2"/>
      <x:c r="B25" s="2"/>
      <x:c r="C25" s="2"/>
      <x:c r="D25" s="2"/>
      <x:c r="E25" s="2"/>
      <x:c r="F25" s="2"/>
    </x:row>
  </x:sheetData>
  <x:conditionalFormatting sqref="C9:C16">
    <x:cfRule type="expression" dxfId="0" priority="1">
      <x:formula>AND(C9&lt;&gt;"",C9&lt;&gt;"可用")</x:formula>
    </x:cfRule>
  </x:conditionalFormatting>
  <x:conditionalFormatting sqref="A20:C20">
    <x:cfRule type="expression" dxfId="1" priority="2">
      <x:formula>OR($B$18&lt;2,COUNTIFS($C$9:$C$16,"可用")&lt;&gt;$B$18)</x:formula>
    </x:cfRule>
  </x:conditionalFormatting>
  <x:dataValidations count="1">
    <x:dataValidation type="textLength" errorStyle="stop" operator="between" showErrorMessage="1" errorTitle="昵称太长" error="请使用1至8个字的昵称，且不要重名。" sqref="B9:B16">
      <x:formula1>1</x:formula1>
      <x:formula2>8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2BAAD"/>
  </x:sheetPr>
  <x:sheetViews>
    <x:sheetView showGridLines="0" workbookViewId="0">
      <x:pane xSplit="5" ySplit="7" topLeftCell="F8" activePane="bottomRight" state="frozen"/>
    </x:sheetView>
  </x:sheetViews>
  <x:sheetFormatPr defaultRowHeight="15"/>
  <x:cols>
    <x:col min="1" max="1" width="6" hidden="0" customWidth="1"/>
    <x:col min="2" max="2" width="14" hidden="0" customWidth="1"/>
    <x:col min="3" max="3" width="24" hidden="0" customWidth="1"/>
    <x:col min="4" max="4" width="15" hidden="0" customWidth="1"/>
    <x:col min="5" max="5" width="14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26" hidden="0" customWidth="1"/>
    <x:col min="15" max="15" width="10" hidden="0" customWidth="1"/>
    <x:col min="16" max="16" width="14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5" customHeight="1">
      <x:c r="A2" s="3" t="str">
        <x:v>费用明细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6" customHeight="1">
      <x:c r="A3" s="4" t="str">
        <x:v>最多100笔。每笔先填付款人和金额，再给实际参与者选“是”。空白或“否”均不参与。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6" customHeight="1">
      <x:c r="A4" s="4" t="str">
        <x:v>付款人可以不参与分摊。只有状态为“已计入”的完整记录进入汇总。日期可选填。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6" customHeight="1">
      <x:c r="A5" s="4" t="str">
        <x:v>灰色为公式。向右查看每人分摊；按成员位置顺序分配不足一分的尾差。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6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5" customHeight="1">
      <x:c r="A7" s="9" t="str">
        <x:v>序号</x:v>
      </x:c>
      <x:c r="B7" s="9" t="str">
        <x:v>日期</x:v>
      </x:c>
      <x:c r="C7" s="9" t="str">
        <x:v>费用项目</x:v>
      </x:c>
      <x:c r="D7" s="9" t="str">
        <x:v>付款人</x:v>
      </x:c>
      <x:c r="E7" s="9" t="str">
        <x:v>金额</x:v>
      </x:c>
      <x:c r="F7" s="9" t="str">
        <x:f>IF('成员设置'!B9="","",'成员设置'!B9)</x:f>
      </x:c>
      <x:c r="G7" s="9" t="str">
        <x:f>IF('成员设置'!B10="","",'成员设置'!B10)</x:f>
      </x:c>
      <x:c r="H7" s="9" t="str">
        <x:f>IF('成员设置'!B11="","",'成员设置'!B11)</x:f>
      </x:c>
      <x:c r="I7" s="9" t="str">
        <x:f>IF('成员设置'!B12="","",'成员设置'!B12)</x:f>
      </x:c>
      <x:c r="J7" s="9" t="str">
        <x:f>IF('成员设置'!B13="","",'成员设置'!B13)</x:f>
      </x:c>
      <x:c r="K7" s="9" t="str">
        <x:f>IF('成员设置'!B14="","",'成员设置'!B14)</x:f>
      </x:c>
      <x:c r="L7" s="9" t="str">
        <x:f>IF('成员设置'!B15="","",'成员设置'!B15)</x:f>
      </x:c>
      <x:c r="M7" s="9" t="str">
        <x:f>IF('成员设置'!B16="","",'成员设置'!B16)</x:f>
      </x:c>
      <x:c r="N7" s="9" t="str">
        <x:v>录入状态</x:v>
      </x:c>
      <x:c r="O7" s="9" t="str">
        <x:v>参与人数</x:v>
      </x:c>
      <x:c r="P7" s="9" t="str">
        <x:v>金额（分）</x:v>
      </x:c>
      <x:c r="Q7" s="9" t="str">
        <x:v>每人整分</x:v>
      </x:c>
      <x:c r="R7" s="9" t="str">
        <x:v>余分</x:v>
      </x:c>
      <x:c r="S7" s="9" t="str">
        <x:f>IF('成员设置'!B9="","未使用分摊",'成员设置'!B9&amp;"分摊")</x:f>
        <x:v>未使用分摊</x:v>
      </x:c>
      <x:c r="T7" s="9" t="str">
        <x:f>IF('成员设置'!B10="","未使用分摊",'成员设置'!B10&amp;"分摊")</x:f>
        <x:v>未使用分摊</x:v>
      </x:c>
      <x:c r="U7" s="9" t="str">
        <x:f>IF('成员设置'!B11="","未使用分摊",'成员设置'!B11&amp;"分摊")</x:f>
        <x:v>未使用分摊</x:v>
      </x:c>
      <x:c r="V7" s="9" t="str">
        <x:f>IF('成员设置'!B12="","未使用分摊",'成员设置'!B12&amp;"分摊")</x:f>
        <x:v>未使用分摊</x:v>
      </x:c>
      <x:c r="W7" s="9" t="str">
        <x:f>IF('成员设置'!B13="","未使用分摊",'成员设置'!B13&amp;"分摊")</x:f>
        <x:v>未使用分摊</x:v>
      </x:c>
      <x:c r="X7" s="9" t="str">
        <x:f>IF('成员设置'!B14="","未使用分摊",'成员设置'!B14&amp;"分摊")</x:f>
        <x:v>未使用分摊</x:v>
      </x:c>
      <x:c r="Y7" s="9" t="str">
        <x:f>IF('成员设置'!B15="","未使用分摊",'成员设置'!B15&amp;"分摊")</x:f>
        <x:v>未使用分摊</x:v>
      </x:c>
      <x:c r="Z7" s="9" t="str">
        <x:f>IF('成员设置'!B16="","未使用分摊",'成员设置'!B16&amp;"分摊")</x:f>
        <x:v>未使用分摊</x:v>
      </x:c>
    </x:row>
    <x:row r="8" ht="26" customHeight="1">
      <x:c r="A8" s="2" t="n">
        <x:v>1</x:v>
      </x:c>
      <x:c r="B8" s="14"/>
      <x:c r="C8" s="5"/>
      <x:c r="D8" s="5"/>
      <x:c r="E8" s="15"/>
      <x:c r="F8" s="12"/>
      <x:c r="G8" s="12"/>
      <x:c r="H8" s="12"/>
      <x:c r="I8" s="12"/>
      <x:c r="J8" s="12"/>
      <x:c r="K8" s="12"/>
      <x:c r="L8" s="12"/>
      <x:c r="M8" s="12"/>
      <x:c r="N8" s="13" t="str">
        <x:f>IF(COUNTA(B8:M8)=0,"",IF('成员设置'!$B$18&lt;2,"先设置至少2位成员",IF(COUNTIFS('成员设置'!$C$9:$C$16,"可用")&lt;&gt;'成员设置'!$B$18,"先修正成员昵称",IF(C8="","填写费用项目",IF(D8="","选择付款人",IF(COUNTIFS('成员设置'!$B$9:$B$16,D8)&lt;&gt;1,"付款人不在成员中",IF(ISBLANK(E8),"填写金额",IF(NOT(ISNUMBER(E8)),"金额须为数字",IF(E8&lt;0,"金额不能小于0",IF(E8&lt;&gt;ROUND(E8,2),"金额最多两位小数",IF(COUNTIFS(F8:M8,"是")&lt;&gt;O8,"未设成员列不能选是",IF(COUNTA(F8:M8)&lt;&gt;COUNTIFS(F8:M8,"是")+COUNTIFS(F8:M8,"否"),"参与列只填是或否",IF(AND(E8&gt;0,O8=0),"至少1位参与者","已计入")))))))))))))</x:f>
      </x:c>
      <x:c r="O8" s="17" t="n">
        <x:f>SUMPRODUCT((F8:M8="是")*(F$7:M$7&lt;&gt;""))</x:f>
        <x:v>0</x:v>
      </x:c>
      <x:c r="P8" s="17" t="n">
        <x:f>IF(N8="已计入",ROUND(E8*100,0),0)</x:f>
        <x:v>0</x:v>
      </x:c>
      <x:c r="Q8" s="17" t="n">
        <x:f>IF(O8=0,0,INT(P8/O8))</x:f>
        <x:v>0</x:v>
      </x:c>
      <x:c r="R8" s="17" t="n">
        <x:f>IF(O8=0,0,MOD(P8,O8))</x:f>
        <x:v>0</x:v>
      </x:c>
      <x:c r="S8" s="16" t="n">
        <x:f>IF(AND(N8="已计入",F8="是",F$7&lt;&gt;""),($Q8+IF(COUNTIFS($F8:F8,"是")&lt;=$R8,1,0))/100,0)</x:f>
        <x:v>0</x:v>
      </x:c>
      <x:c r="T8" s="16" t="n">
        <x:f>IF(AND(N8="已计入",G8="是",G$7&lt;&gt;""),($Q8+IF(COUNTIFS($F8:G8,"是")&lt;=$R8,1,0))/100,0)</x:f>
        <x:v>0</x:v>
      </x:c>
      <x:c r="U8" s="16" t="n">
        <x:f>IF(AND(N8="已计入",H8="是",H$7&lt;&gt;""),($Q8+IF(COUNTIFS($F8:H8,"是")&lt;=$R8,1,0))/100,0)</x:f>
        <x:v>0</x:v>
      </x:c>
      <x:c r="V8" s="16" t="n">
        <x:f>IF(AND(N8="已计入",I8="是",I$7&lt;&gt;""),($Q8+IF(COUNTIFS($F8:I8,"是")&lt;=$R8,1,0))/100,0)</x:f>
        <x:v>0</x:v>
      </x:c>
      <x:c r="W8" s="16" t="n">
        <x:f>IF(AND(N8="已计入",J8="是",J$7&lt;&gt;""),($Q8+IF(COUNTIFS($F8:J8,"是")&lt;=$R8,1,0))/100,0)</x:f>
        <x:v>0</x:v>
      </x:c>
      <x:c r="X8" s="16" t="n">
        <x:f>IF(AND(N8="已计入",K8="是",K$7&lt;&gt;""),($Q8+IF(COUNTIFS($F8:K8,"是")&lt;=$R8,1,0))/100,0)</x:f>
        <x:v>0</x:v>
      </x:c>
      <x:c r="Y8" s="16" t="n">
        <x:f>IF(AND(N8="已计入",L8="是",L$7&lt;&gt;""),($Q8+IF(COUNTIFS($F8:L8,"是")&lt;=$R8,1,0))/100,0)</x:f>
        <x:v>0</x:v>
      </x:c>
      <x:c r="Z8" s="16" t="n">
        <x:f>IF(AND(N8="已计入",M8="是",M$7&lt;&gt;""),($Q8+IF(COUNTIFS($F8:M8,"是")&lt;=$R8,1,0))/100,0)</x:f>
        <x:v>0</x:v>
      </x:c>
    </x:row>
    <x:row r="9" ht="26" customHeight="1">
      <x:c r="A9" s="2" t="n">
        <x:v>2</x:v>
      </x:c>
      <x:c r="B9" s="14"/>
      <x:c r="C9" s="5"/>
      <x:c r="D9" s="5"/>
      <x:c r="E9" s="15"/>
      <x:c r="F9" s="12"/>
      <x:c r="G9" s="12"/>
      <x:c r="H9" s="12"/>
      <x:c r="I9" s="12"/>
      <x:c r="J9" s="12"/>
      <x:c r="K9" s="12"/>
      <x:c r="L9" s="12"/>
      <x:c r="M9" s="12"/>
      <x:c r="N9" s="13" t="str">
        <x:f>IF(COUNTA(B9:M9)=0,"",IF('成员设置'!$B$18&lt;2,"先设置至少2位成员",IF(COUNTIFS('成员设置'!$C$9:$C$16,"可用")&lt;&gt;'成员设置'!$B$18,"先修正成员昵称",IF(C9="","填写费用项目",IF(D9="","选择付款人",IF(COUNTIFS('成员设置'!$B$9:$B$16,D9)&lt;&gt;1,"付款人不在成员中",IF(ISBLANK(E9),"填写金额",IF(NOT(ISNUMBER(E9)),"金额须为数字",IF(E9&lt;0,"金额不能小于0",IF(E9&lt;&gt;ROUND(E9,2),"金额最多两位小数",IF(COUNTIFS(F9:M9,"是")&lt;&gt;O9,"未设成员列不能选是",IF(COUNTA(F9:M9)&lt;&gt;COUNTIFS(F9:M9,"是")+COUNTIFS(F9:M9,"否"),"参与列只填是或否",IF(AND(E9&gt;0,O9=0),"至少1位参与者","已计入")))))))))))))</x:f>
      </x:c>
      <x:c r="O9" s="17" t="n">
        <x:f>SUMPRODUCT((F9:M9="是")*(F$7:M$7&lt;&gt;""))</x:f>
        <x:v>0</x:v>
      </x:c>
      <x:c r="P9" s="17" t="n">
        <x:f>IF(N9="已计入",ROUND(E9*100,0),0)</x:f>
        <x:v>0</x:v>
      </x:c>
      <x:c r="Q9" s="17" t="n">
        <x:f>IF(O9=0,0,INT(P9/O9))</x:f>
        <x:v>0</x:v>
      </x:c>
      <x:c r="R9" s="17" t="n">
        <x:f>IF(O9=0,0,MOD(P9,O9))</x:f>
        <x:v>0</x:v>
      </x:c>
      <x:c r="S9" s="16" t="n">
        <x:f>IF(AND(N9="已计入",F9="是",F$7&lt;&gt;""),($Q9+IF(COUNTIFS($F9:F9,"是")&lt;=$R9,1,0))/100,0)</x:f>
        <x:v>0</x:v>
      </x:c>
      <x:c r="T9" s="16" t="n">
        <x:f>IF(AND(N9="已计入",G9="是",G$7&lt;&gt;""),($Q9+IF(COUNTIFS($F9:G9,"是")&lt;=$R9,1,0))/100,0)</x:f>
        <x:v>0</x:v>
      </x:c>
      <x:c r="U9" s="16" t="n">
        <x:f>IF(AND(N9="已计入",H9="是",H$7&lt;&gt;""),($Q9+IF(COUNTIFS($F9:H9,"是")&lt;=$R9,1,0))/100,0)</x:f>
        <x:v>0</x:v>
      </x:c>
      <x:c r="V9" s="16" t="n">
        <x:f>IF(AND(N9="已计入",I9="是",I$7&lt;&gt;""),($Q9+IF(COUNTIFS($F9:I9,"是")&lt;=$R9,1,0))/100,0)</x:f>
        <x:v>0</x:v>
      </x:c>
      <x:c r="W9" s="16" t="n">
        <x:f>IF(AND(N9="已计入",J9="是",J$7&lt;&gt;""),($Q9+IF(COUNTIFS($F9:J9,"是")&lt;=$R9,1,0))/100,0)</x:f>
        <x:v>0</x:v>
      </x:c>
      <x:c r="X9" s="16" t="n">
        <x:f>IF(AND(N9="已计入",K9="是",K$7&lt;&gt;""),($Q9+IF(COUNTIFS($F9:K9,"是")&lt;=$R9,1,0))/100,0)</x:f>
        <x:v>0</x:v>
      </x:c>
      <x:c r="Y9" s="16" t="n">
        <x:f>IF(AND(N9="已计入",L9="是",L$7&lt;&gt;""),($Q9+IF(COUNTIFS($F9:L9,"是")&lt;=$R9,1,0))/100,0)</x:f>
        <x:v>0</x:v>
      </x:c>
      <x:c r="Z9" s="16" t="n">
        <x:f>IF(AND(N9="已计入",M9="是",M$7&lt;&gt;""),($Q9+IF(COUNTIFS($F9:M9,"是")&lt;=$R9,1,0))/100,0)</x:f>
        <x:v>0</x:v>
      </x:c>
    </x:row>
    <x:row r="10" ht="26" customHeight="1">
      <x:c r="A10" s="2" t="n">
        <x:v>3</x:v>
      </x:c>
      <x:c r="B10" s="14"/>
      <x:c r="C10" s="5"/>
      <x:c r="D10" s="5"/>
      <x:c r="E10" s="15"/>
      <x:c r="F10" s="12"/>
      <x:c r="G10" s="12"/>
      <x:c r="H10" s="12"/>
      <x:c r="I10" s="12"/>
      <x:c r="J10" s="12"/>
      <x:c r="K10" s="12"/>
      <x:c r="L10" s="12"/>
      <x:c r="M10" s="12"/>
      <x:c r="N10" s="13" t="str">
        <x:f>IF(COUNTA(B10:M10)=0,"",IF('成员设置'!$B$18&lt;2,"先设置至少2位成员",IF(COUNTIFS('成员设置'!$C$9:$C$16,"可用")&lt;&gt;'成员设置'!$B$18,"先修正成员昵称",IF(C10="","填写费用项目",IF(D10="","选择付款人",IF(COUNTIFS('成员设置'!$B$9:$B$16,D10)&lt;&gt;1,"付款人不在成员中",IF(ISBLANK(E10),"填写金额",IF(NOT(ISNUMBER(E10)),"金额须为数字",IF(E10&lt;0,"金额不能小于0",IF(E10&lt;&gt;ROUND(E10,2),"金额最多两位小数",IF(COUNTIFS(F10:M10,"是")&lt;&gt;O10,"未设成员列不能选是",IF(COUNTA(F10:M10)&lt;&gt;COUNTIFS(F10:M10,"是")+COUNTIFS(F10:M10,"否"),"参与列只填是或否",IF(AND(E10&gt;0,O10=0),"至少1位参与者","已计入")))))))))))))</x:f>
      </x:c>
      <x:c r="O10" s="17" t="n">
        <x:f>SUMPRODUCT((F10:M10="是")*(F$7:M$7&lt;&gt;""))</x:f>
        <x:v>0</x:v>
      </x:c>
      <x:c r="P10" s="17" t="n">
        <x:f>IF(N10="已计入",ROUND(E10*100,0),0)</x:f>
        <x:v>0</x:v>
      </x:c>
      <x:c r="Q10" s="17" t="n">
        <x:f>IF(O10=0,0,INT(P10/O10))</x:f>
        <x:v>0</x:v>
      </x:c>
      <x:c r="R10" s="17" t="n">
        <x:f>IF(O10=0,0,MOD(P10,O10))</x:f>
        <x:v>0</x:v>
      </x:c>
      <x:c r="S10" s="16" t="n">
        <x:f>IF(AND(N10="已计入",F10="是",F$7&lt;&gt;""),($Q10+IF(COUNTIFS($F10:F10,"是")&lt;=$R10,1,0))/100,0)</x:f>
        <x:v>0</x:v>
      </x:c>
      <x:c r="T10" s="16" t="n">
        <x:f>IF(AND(N10="已计入",G10="是",G$7&lt;&gt;""),($Q10+IF(COUNTIFS($F10:G10,"是")&lt;=$R10,1,0))/100,0)</x:f>
        <x:v>0</x:v>
      </x:c>
      <x:c r="U10" s="16" t="n">
        <x:f>IF(AND(N10="已计入",H10="是",H$7&lt;&gt;""),($Q10+IF(COUNTIFS($F10:H10,"是")&lt;=$R10,1,0))/100,0)</x:f>
        <x:v>0</x:v>
      </x:c>
      <x:c r="V10" s="16" t="n">
        <x:f>IF(AND(N10="已计入",I10="是",I$7&lt;&gt;""),($Q10+IF(COUNTIFS($F10:I10,"是")&lt;=$R10,1,0))/100,0)</x:f>
        <x:v>0</x:v>
      </x:c>
      <x:c r="W10" s="16" t="n">
        <x:f>IF(AND(N10="已计入",J10="是",J$7&lt;&gt;""),($Q10+IF(COUNTIFS($F10:J10,"是")&lt;=$R10,1,0))/100,0)</x:f>
        <x:v>0</x:v>
      </x:c>
      <x:c r="X10" s="16" t="n">
        <x:f>IF(AND(N10="已计入",K10="是",K$7&lt;&gt;""),($Q10+IF(COUNTIFS($F10:K10,"是")&lt;=$R10,1,0))/100,0)</x:f>
        <x:v>0</x:v>
      </x:c>
      <x:c r="Y10" s="16" t="n">
        <x:f>IF(AND(N10="已计入",L10="是",L$7&lt;&gt;""),($Q10+IF(COUNTIFS($F10:L10,"是")&lt;=$R10,1,0))/100,0)</x:f>
        <x:v>0</x:v>
      </x:c>
      <x:c r="Z10" s="16" t="n">
        <x:f>IF(AND(N10="已计入",M10="是",M$7&lt;&gt;""),($Q10+IF(COUNTIFS($F10:M10,"是")&lt;=$R10,1,0))/100,0)</x:f>
        <x:v>0</x:v>
      </x:c>
    </x:row>
    <x:row r="11" ht="26" customHeight="1">
      <x:c r="A11" s="2" t="n">
        <x:v>4</x:v>
      </x:c>
      <x:c r="B11" s="14"/>
      <x:c r="C11" s="5"/>
      <x:c r="D11" s="5"/>
      <x:c r="E11" s="15"/>
      <x:c r="F11" s="12"/>
      <x:c r="G11" s="12"/>
      <x:c r="H11" s="12"/>
      <x:c r="I11" s="12"/>
      <x:c r="J11" s="12"/>
      <x:c r="K11" s="12"/>
      <x:c r="L11" s="12"/>
      <x:c r="M11" s="12"/>
      <x:c r="N11" s="13" t="str">
        <x:f>IF(COUNTA(B11:M11)=0,"",IF('成员设置'!$B$18&lt;2,"先设置至少2位成员",IF(COUNTIFS('成员设置'!$C$9:$C$16,"可用")&lt;&gt;'成员设置'!$B$18,"先修正成员昵称",IF(C11="","填写费用项目",IF(D11="","选择付款人",IF(COUNTIFS('成员设置'!$B$9:$B$16,D11)&lt;&gt;1,"付款人不在成员中",IF(ISBLANK(E11),"填写金额",IF(NOT(ISNUMBER(E11)),"金额须为数字",IF(E11&lt;0,"金额不能小于0",IF(E11&lt;&gt;ROUND(E11,2),"金额最多两位小数",IF(COUNTIFS(F11:M11,"是")&lt;&gt;O11,"未设成员列不能选是",IF(COUNTA(F11:M11)&lt;&gt;COUNTIFS(F11:M11,"是")+COUNTIFS(F11:M11,"否"),"参与列只填是或否",IF(AND(E11&gt;0,O11=0),"至少1位参与者","已计入")))))))))))))</x:f>
      </x:c>
      <x:c r="O11" s="17" t="n">
        <x:f>SUMPRODUCT((F11:M11="是")*(F$7:M$7&lt;&gt;""))</x:f>
        <x:v>0</x:v>
      </x:c>
      <x:c r="P11" s="17" t="n">
        <x:f>IF(N11="已计入",ROUND(E11*100,0),0)</x:f>
        <x:v>0</x:v>
      </x:c>
      <x:c r="Q11" s="17" t="n">
        <x:f>IF(O11=0,0,INT(P11/O11))</x:f>
        <x:v>0</x:v>
      </x:c>
      <x:c r="R11" s="17" t="n">
        <x:f>IF(O11=0,0,MOD(P11,O11))</x:f>
        <x:v>0</x:v>
      </x:c>
      <x:c r="S11" s="16" t="n">
        <x:f>IF(AND(N11="已计入",F11="是",F$7&lt;&gt;""),($Q11+IF(COUNTIFS($F11:F11,"是")&lt;=$R11,1,0))/100,0)</x:f>
        <x:v>0</x:v>
      </x:c>
      <x:c r="T11" s="16" t="n">
        <x:f>IF(AND(N11="已计入",G11="是",G$7&lt;&gt;""),($Q11+IF(COUNTIFS($F11:G11,"是")&lt;=$R11,1,0))/100,0)</x:f>
        <x:v>0</x:v>
      </x:c>
      <x:c r="U11" s="16" t="n">
        <x:f>IF(AND(N11="已计入",H11="是",H$7&lt;&gt;""),($Q11+IF(COUNTIFS($F11:H11,"是")&lt;=$R11,1,0))/100,0)</x:f>
        <x:v>0</x:v>
      </x:c>
      <x:c r="V11" s="16" t="n">
        <x:f>IF(AND(N11="已计入",I11="是",I$7&lt;&gt;""),($Q11+IF(COUNTIFS($F11:I11,"是")&lt;=$R11,1,0))/100,0)</x:f>
        <x:v>0</x:v>
      </x:c>
      <x:c r="W11" s="16" t="n">
        <x:f>IF(AND(N11="已计入",J11="是",J$7&lt;&gt;""),($Q11+IF(COUNTIFS($F11:J11,"是")&lt;=$R11,1,0))/100,0)</x:f>
        <x:v>0</x:v>
      </x:c>
      <x:c r="X11" s="16" t="n">
        <x:f>IF(AND(N11="已计入",K11="是",K$7&lt;&gt;""),($Q11+IF(COUNTIFS($F11:K11,"是")&lt;=$R11,1,0))/100,0)</x:f>
        <x:v>0</x:v>
      </x:c>
      <x:c r="Y11" s="16" t="n">
        <x:f>IF(AND(N11="已计入",L11="是",L$7&lt;&gt;""),($Q11+IF(COUNTIFS($F11:L11,"是")&lt;=$R11,1,0))/100,0)</x:f>
        <x:v>0</x:v>
      </x:c>
      <x:c r="Z11" s="16" t="n">
        <x:f>IF(AND(N11="已计入",M11="是",M$7&lt;&gt;""),($Q11+IF(COUNTIFS($F11:M11,"是")&lt;=$R11,1,0))/100,0)</x:f>
        <x:v>0</x:v>
      </x:c>
    </x:row>
    <x:row r="12" ht="26" customHeight="1">
      <x:c r="A12" s="2" t="n">
        <x:v>5</x:v>
      </x:c>
      <x:c r="B12" s="14"/>
      <x:c r="C12" s="5"/>
      <x:c r="D12" s="5"/>
      <x:c r="E12" s="15"/>
      <x:c r="F12" s="12"/>
      <x:c r="G12" s="12"/>
      <x:c r="H12" s="12"/>
      <x:c r="I12" s="12"/>
      <x:c r="J12" s="12"/>
      <x:c r="K12" s="12"/>
      <x:c r="L12" s="12"/>
      <x:c r="M12" s="12"/>
      <x:c r="N12" s="13" t="str">
        <x:f>IF(COUNTA(B12:M12)=0,"",IF('成员设置'!$B$18&lt;2,"先设置至少2位成员",IF(COUNTIFS('成员设置'!$C$9:$C$16,"可用")&lt;&gt;'成员设置'!$B$18,"先修正成员昵称",IF(C12="","填写费用项目",IF(D12="","选择付款人",IF(COUNTIFS('成员设置'!$B$9:$B$16,D12)&lt;&gt;1,"付款人不在成员中",IF(ISBLANK(E12),"填写金额",IF(NOT(ISNUMBER(E12)),"金额须为数字",IF(E12&lt;0,"金额不能小于0",IF(E12&lt;&gt;ROUND(E12,2),"金额最多两位小数",IF(COUNTIFS(F12:M12,"是")&lt;&gt;O12,"未设成员列不能选是",IF(COUNTA(F12:M12)&lt;&gt;COUNTIFS(F12:M12,"是")+COUNTIFS(F12:M12,"否"),"参与列只填是或否",IF(AND(E12&gt;0,O12=0),"至少1位参与者","已计入")))))))))))))</x:f>
      </x:c>
      <x:c r="O12" s="17" t="n">
        <x:f>SUMPRODUCT((F12:M12="是")*(F$7:M$7&lt;&gt;""))</x:f>
        <x:v>0</x:v>
      </x:c>
      <x:c r="P12" s="17" t="n">
        <x:f>IF(N12="已计入",ROUND(E12*100,0),0)</x:f>
        <x:v>0</x:v>
      </x:c>
      <x:c r="Q12" s="17" t="n">
        <x:f>IF(O12=0,0,INT(P12/O12))</x:f>
        <x:v>0</x:v>
      </x:c>
      <x:c r="R12" s="17" t="n">
        <x:f>IF(O12=0,0,MOD(P12,O12))</x:f>
        <x:v>0</x:v>
      </x:c>
      <x:c r="S12" s="16" t="n">
        <x:f>IF(AND(N12="已计入",F12="是",F$7&lt;&gt;""),($Q12+IF(COUNTIFS($F12:F12,"是")&lt;=$R12,1,0))/100,0)</x:f>
        <x:v>0</x:v>
      </x:c>
      <x:c r="T12" s="16" t="n">
        <x:f>IF(AND(N12="已计入",G12="是",G$7&lt;&gt;""),($Q12+IF(COUNTIFS($F12:G12,"是")&lt;=$R12,1,0))/100,0)</x:f>
        <x:v>0</x:v>
      </x:c>
      <x:c r="U12" s="16" t="n">
        <x:f>IF(AND(N12="已计入",H12="是",H$7&lt;&gt;""),($Q12+IF(COUNTIFS($F12:H12,"是")&lt;=$R12,1,0))/100,0)</x:f>
        <x:v>0</x:v>
      </x:c>
      <x:c r="V12" s="16" t="n">
        <x:f>IF(AND(N12="已计入",I12="是",I$7&lt;&gt;""),($Q12+IF(COUNTIFS($F12:I12,"是")&lt;=$R12,1,0))/100,0)</x:f>
        <x:v>0</x:v>
      </x:c>
      <x:c r="W12" s="16" t="n">
        <x:f>IF(AND(N12="已计入",J12="是",J$7&lt;&gt;""),($Q12+IF(COUNTIFS($F12:J12,"是")&lt;=$R12,1,0))/100,0)</x:f>
        <x:v>0</x:v>
      </x:c>
      <x:c r="X12" s="16" t="n">
        <x:f>IF(AND(N12="已计入",K12="是",K$7&lt;&gt;""),($Q12+IF(COUNTIFS($F12:K12,"是")&lt;=$R12,1,0))/100,0)</x:f>
        <x:v>0</x:v>
      </x:c>
      <x:c r="Y12" s="16" t="n">
        <x:f>IF(AND(N12="已计入",L12="是",L$7&lt;&gt;""),($Q12+IF(COUNTIFS($F12:L12,"是")&lt;=$R12,1,0))/100,0)</x:f>
        <x:v>0</x:v>
      </x:c>
      <x:c r="Z12" s="16" t="n">
        <x:f>IF(AND(N12="已计入",M12="是",M$7&lt;&gt;""),($Q12+IF(COUNTIFS($F12:M12,"是")&lt;=$R12,1,0))/100,0)</x:f>
        <x:v>0</x:v>
      </x:c>
    </x:row>
    <x:row r="13" ht="26" customHeight="1">
      <x:c r="A13" s="2" t="n">
        <x:v>6</x:v>
      </x:c>
      <x:c r="B13" s="14"/>
      <x:c r="C13" s="5"/>
      <x:c r="D13" s="5"/>
      <x:c r="E13" s="15"/>
      <x:c r="F13" s="12"/>
      <x:c r="G13" s="12"/>
      <x:c r="H13" s="12"/>
      <x:c r="I13" s="12"/>
      <x:c r="J13" s="12"/>
      <x:c r="K13" s="12"/>
      <x:c r="L13" s="12"/>
      <x:c r="M13" s="12"/>
      <x:c r="N13" s="13" t="str">
        <x:f>IF(COUNTA(B13:M13)=0,"",IF('成员设置'!$B$18&lt;2,"先设置至少2位成员",IF(COUNTIFS('成员设置'!$C$9:$C$16,"可用")&lt;&gt;'成员设置'!$B$18,"先修正成员昵称",IF(C13="","填写费用项目",IF(D13="","选择付款人",IF(COUNTIFS('成员设置'!$B$9:$B$16,D13)&lt;&gt;1,"付款人不在成员中",IF(ISBLANK(E13),"填写金额",IF(NOT(ISNUMBER(E13)),"金额须为数字",IF(E13&lt;0,"金额不能小于0",IF(E13&lt;&gt;ROUND(E13,2),"金额最多两位小数",IF(COUNTIFS(F13:M13,"是")&lt;&gt;O13,"未设成员列不能选是",IF(COUNTA(F13:M13)&lt;&gt;COUNTIFS(F13:M13,"是")+COUNTIFS(F13:M13,"否"),"参与列只填是或否",IF(AND(E13&gt;0,O13=0),"至少1位参与者","已计入")))))))))))))</x:f>
      </x:c>
      <x:c r="O13" s="17" t="n">
        <x:f>SUMPRODUCT((F13:M13="是")*(F$7:M$7&lt;&gt;""))</x:f>
        <x:v>0</x:v>
      </x:c>
      <x:c r="P13" s="17" t="n">
        <x:f>IF(N13="已计入",ROUND(E13*100,0),0)</x:f>
        <x:v>0</x:v>
      </x:c>
      <x:c r="Q13" s="17" t="n">
        <x:f>IF(O13=0,0,INT(P13/O13))</x:f>
        <x:v>0</x:v>
      </x:c>
      <x:c r="R13" s="17" t="n">
        <x:f>IF(O13=0,0,MOD(P13,O13))</x:f>
        <x:v>0</x:v>
      </x:c>
      <x:c r="S13" s="16" t="n">
        <x:f>IF(AND(N13="已计入",F13="是",F$7&lt;&gt;""),($Q13+IF(COUNTIFS($F13:F13,"是")&lt;=$R13,1,0))/100,0)</x:f>
        <x:v>0</x:v>
      </x:c>
      <x:c r="T13" s="16" t="n">
        <x:f>IF(AND(N13="已计入",G13="是",G$7&lt;&gt;""),($Q13+IF(COUNTIFS($F13:G13,"是")&lt;=$R13,1,0))/100,0)</x:f>
        <x:v>0</x:v>
      </x:c>
      <x:c r="U13" s="16" t="n">
        <x:f>IF(AND(N13="已计入",H13="是",H$7&lt;&gt;""),($Q13+IF(COUNTIFS($F13:H13,"是")&lt;=$R13,1,0))/100,0)</x:f>
        <x:v>0</x:v>
      </x:c>
      <x:c r="V13" s="16" t="n">
        <x:f>IF(AND(N13="已计入",I13="是",I$7&lt;&gt;""),($Q13+IF(COUNTIFS($F13:I13,"是")&lt;=$R13,1,0))/100,0)</x:f>
        <x:v>0</x:v>
      </x:c>
      <x:c r="W13" s="16" t="n">
        <x:f>IF(AND(N13="已计入",J13="是",J$7&lt;&gt;""),($Q13+IF(COUNTIFS($F13:J13,"是")&lt;=$R13,1,0))/100,0)</x:f>
        <x:v>0</x:v>
      </x:c>
      <x:c r="X13" s="16" t="n">
        <x:f>IF(AND(N13="已计入",K13="是",K$7&lt;&gt;""),($Q13+IF(COUNTIFS($F13:K13,"是")&lt;=$R13,1,0))/100,0)</x:f>
        <x:v>0</x:v>
      </x:c>
      <x:c r="Y13" s="16" t="n">
        <x:f>IF(AND(N13="已计入",L13="是",L$7&lt;&gt;""),($Q13+IF(COUNTIFS($F13:L13,"是")&lt;=$R13,1,0))/100,0)</x:f>
        <x:v>0</x:v>
      </x:c>
      <x:c r="Z13" s="16" t="n">
        <x:f>IF(AND(N13="已计入",M13="是",M$7&lt;&gt;""),($Q13+IF(COUNTIFS($F13:M13,"是")&lt;=$R13,1,0))/100,0)</x:f>
        <x:v>0</x:v>
      </x:c>
    </x:row>
    <x:row r="14" ht="26" customHeight="1">
      <x:c r="A14" s="2" t="n">
        <x:v>7</x:v>
      </x:c>
      <x:c r="B14" s="14"/>
      <x:c r="C14" s="5"/>
      <x:c r="D14" s="5"/>
      <x:c r="E14" s="15"/>
      <x:c r="F14" s="12"/>
      <x:c r="G14" s="12"/>
      <x:c r="H14" s="12"/>
      <x:c r="I14" s="12"/>
      <x:c r="J14" s="12"/>
      <x:c r="K14" s="12"/>
      <x:c r="L14" s="12"/>
      <x:c r="M14" s="12"/>
      <x:c r="N14" s="13" t="str">
        <x:f>IF(COUNTA(B14:M14)=0,"",IF('成员设置'!$B$18&lt;2,"先设置至少2位成员",IF(COUNTIFS('成员设置'!$C$9:$C$16,"可用")&lt;&gt;'成员设置'!$B$18,"先修正成员昵称",IF(C14="","填写费用项目",IF(D14="","选择付款人",IF(COUNTIFS('成员设置'!$B$9:$B$16,D14)&lt;&gt;1,"付款人不在成员中",IF(ISBLANK(E14),"填写金额",IF(NOT(ISNUMBER(E14)),"金额须为数字",IF(E14&lt;0,"金额不能小于0",IF(E14&lt;&gt;ROUND(E14,2),"金额最多两位小数",IF(COUNTIFS(F14:M14,"是")&lt;&gt;O14,"未设成员列不能选是",IF(COUNTA(F14:M14)&lt;&gt;COUNTIFS(F14:M14,"是")+COUNTIFS(F14:M14,"否"),"参与列只填是或否",IF(AND(E14&gt;0,O14=0),"至少1位参与者","已计入")))))))))))))</x:f>
      </x:c>
      <x:c r="O14" s="17" t="n">
        <x:f>SUMPRODUCT((F14:M14="是")*(F$7:M$7&lt;&gt;""))</x:f>
        <x:v>0</x:v>
      </x:c>
      <x:c r="P14" s="17" t="n">
        <x:f>IF(N14="已计入",ROUND(E14*100,0),0)</x:f>
        <x:v>0</x:v>
      </x:c>
      <x:c r="Q14" s="17" t="n">
        <x:f>IF(O14=0,0,INT(P14/O14))</x:f>
        <x:v>0</x:v>
      </x:c>
      <x:c r="R14" s="17" t="n">
        <x:f>IF(O14=0,0,MOD(P14,O14))</x:f>
        <x:v>0</x:v>
      </x:c>
      <x:c r="S14" s="16" t="n">
        <x:f>IF(AND(N14="已计入",F14="是",F$7&lt;&gt;""),($Q14+IF(COUNTIFS($F14:F14,"是")&lt;=$R14,1,0))/100,0)</x:f>
        <x:v>0</x:v>
      </x:c>
      <x:c r="T14" s="16" t="n">
        <x:f>IF(AND(N14="已计入",G14="是",G$7&lt;&gt;""),($Q14+IF(COUNTIFS($F14:G14,"是")&lt;=$R14,1,0))/100,0)</x:f>
        <x:v>0</x:v>
      </x:c>
      <x:c r="U14" s="16" t="n">
        <x:f>IF(AND(N14="已计入",H14="是",H$7&lt;&gt;""),($Q14+IF(COUNTIFS($F14:H14,"是")&lt;=$R14,1,0))/100,0)</x:f>
        <x:v>0</x:v>
      </x:c>
      <x:c r="V14" s="16" t="n">
        <x:f>IF(AND(N14="已计入",I14="是",I$7&lt;&gt;""),($Q14+IF(COUNTIFS($F14:I14,"是")&lt;=$R14,1,0))/100,0)</x:f>
        <x:v>0</x:v>
      </x:c>
      <x:c r="W14" s="16" t="n">
        <x:f>IF(AND(N14="已计入",J14="是",J$7&lt;&gt;""),($Q14+IF(COUNTIFS($F14:J14,"是")&lt;=$R14,1,0))/100,0)</x:f>
        <x:v>0</x:v>
      </x:c>
      <x:c r="X14" s="16" t="n">
        <x:f>IF(AND(N14="已计入",K14="是",K$7&lt;&gt;""),($Q14+IF(COUNTIFS($F14:K14,"是")&lt;=$R14,1,0))/100,0)</x:f>
        <x:v>0</x:v>
      </x:c>
      <x:c r="Y14" s="16" t="n">
        <x:f>IF(AND(N14="已计入",L14="是",L$7&lt;&gt;""),($Q14+IF(COUNTIFS($F14:L14,"是")&lt;=$R14,1,0))/100,0)</x:f>
        <x:v>0</x:v>
      </x:c>
      <x:c r="Z14" s="16" t="n">
        <x:f>IF(AND(N14="已计入",M14="是",M$7&lt;&gt;""),($Q14+IF(COUNTIFS($F14:M14,"是")&lt;=$R14,1,0))/100,0)</x:f>
        <x:v>0</x:v>
      </x:c>
    </x:row>
    <x:row r="15" ht="26" customHeight="1">
      <x:c r="A15" s="2" t="n">
        <x:v>8</x:v>
      </x:c>
      <x:c r="B15" s="14"/>
      <x:c r="C15" s="5"/>
      <x:c r="D15" s="5"/>
      <x:c r="E15" s="15"/>
      <x:c r="F15" s="12"/>
      <x:c r="G15" s="12"/>
      <x:c r="H15" s="12"/>
      <x:c r="I15" s="12"/>
      <x:c r="J15" s="12"/>
      <x:c r="K15" s="12"/>
      <x:c r="L15" s="12"/>
      <x:c r="M15" s="12"/>
      <x:c r="N15" s="13" t="str">
        <x:f>IF(COUNTA(B15:M15)=0,"",IF('成员设置'!$B$18&lt;2,"先设置至少2位成员",IF(COUNTIFS('成员设置'!$C$9:$C$16,"可用")&lt;&gt;'成员设置'!$B$18,"先修正成员昵称",IF(C15="","填写费用项目",IF(D15="","选择付款人",IF(COUNTIFS('成员设置'!$B$9:$B$16,D15)&lt;&gt;1,"付款人不在成员中",IF(ISBLANK(E15),"填写金额",IF(NOT(ISNUMBER(E15)),"金额须为数字",IF(E15&lt;0,"金额不能小于0",IF(E15&lt;&gt;ROUND(E15,2),"金额最多两位小数",IF(COUNTIFS(F15:M15,"是")&lt;&gt;O15,"未设成员列不能选是",IF(COUNTA(F15:M15)&lt;&gt;COUNTIFS(F15:M15,"是")+COUNTIFS(F15:M15,"否"),"参与列只填是或否",IF(AND(E15&gt;0,O15=0),"至少1位参与者","已计入")))))))))))))</x:f>
      </x:c>
      <x:c r="O15" s="17" t="n">
        <x:f>SUMPRODUCT((F15:M15="是")*(F$7:M$7&lt;&gt;""))</x:f>
        <x:v>0</x:v>
      </x:c>
      <x:c r="P15" s="17" t="n">
        <x:f>IF(N15="已计入",ROUND(E15*100,0),0)</x:f>
        <x:v>0</x:v>
      </x:c>
      <x:c r="Q15" s="17" t="n">
        <x:f>IF(O15=0,0,INT(P15/O15))</x:f>
        <x:v>0</x:v>
      </x:c>
      <x:c r="R15" s="17" t="n">
        <x:f>IF(O15=0,0,MOD(P15,O15))</x:f>
        <x:v>0</x:v>
      </x:c>
      <x:c r="S15" s="16" t="n">
        <x:f>IF(AND(N15="已计入",F15="是",F$7&lt;&gt;""),($Q15+IF(COUNTIFS($F15:F15,"是")&lt;=$R15,1,0))/100,0)</x:f>
        <x:v>0</x:v>
      </x:c>
      <x:c r="T15" s="16" t="n">
        <x:f>IF(AND(N15="已计入",G15="是",G$7&lt;&gt;""),($Q15+IF(COUNTIFS($F15:G15,"是")&lt;=$R15,1,0))/100,0)</x:f>
        <x:v>0</x:v>
      </x:c>
      <x:c r="U15" s="16" t="n">
        <x:f>IF(AND(N15="已计入",H15="是",H$7&lt;&gt;""),($Q15+IF(COUNTIFS($F15:H15,"是")&lt;=$R15,1,0))/100,0)</x:f>
        <x:v>0</x:v>
      </x:c>
      <x:c r="V15" s="16" t="n">
        <x:f>IF(AND(N15="已计入",I15="是",I$7&lt;&gt;""),($Q15+IF(COUNTIFS($F15:I15,"是")&lt;=$R15,1,0))/100,0)</x:f>
        <x:v>0</x:v>
      </x:c>
      <x:c r="W15" s="16" t="n">
        <x:f>IF(AND(N15="已计入",J15="是",J$7&lt;&gt;""),($Q15+IF(COUNTIFS($F15:J15,"是")&lt;=$R15,1,0))/100,0)</x:f>
        <x:v>0</x:v>
      </x:c>
      <x:c r="X15" s="16" t="n">
        <x:f>IF(AND(N15="已计入",K15="是",K$7&lt;&gt;""),($Q15+IF(COUNTIFS($F15:K15,"是")&lt;=$R15,1,0))/100,0)</x:f>
        <x:v>0</x:v>
      </x:c>
      <x:c r="Y15" s="16" t="n">
        <x:f>IF(AND(N15="已计入",L15="是",L$7&lt;&gt;""),($Q15+IF(COUNTIFS($F15:L15,"是")&lt;=$R15,1,0))/100,0)</x:f>
        <x:v>0</x:v>
      </x:c>
      <x:c r="Z15" s="16" t="n">
        <x:f>IF(AND(N15="已计入",M15="是",M$7&lt;&gt;""),($Q15+IF(COUNTIFS($F15:M15,"是")&lt;=$R15,1,0))/100,0)</x:f>
        <x:v>0</x:v>
      </x:c>
    </x:row>
    <x:row r="16" ht="26" customHeight="1">
      <x:c r="A16" s="2" t="n">
        <x:v>9</x:v>
      </x:c>
      <x:c r="B16" s="14"/>
      <x:c r="C16" s="5"/>
      <x:c r="D16" s="5"/>
      <x:c r="E16" s="15"/>
      <x:c r="F16" s="12"/>
      <x:c r="G16" s="12"/>
      <x:c r="H16" s="12"/>
      <x:c r="I16" s="12"/>
      <x:c r="J16" s="12"/>
      <x:c r="K16" s="12"/>
      <x:c r="L16" s="12"/>
      <x:c r="M16" s="12"/>
      <x:c r="N16" s="13" t="str">
        <x:f>IF(COUNTA(B16:M16)=0,"",IF('成员设置'!$B$18&lt;2,"先设置至少2位成员",IF(COUNTIFS('成员设置'!$C$9:$C$16,"可用")&lt;&gt;'成员设置'!$B$18,"先修正成员昵称",IF(C16="","填写费用项目",IF(D16="","选择付款人",IF(COUNTIFS('成员设置'!$B$9:$B$16,D16)&lt;&gt;1,"付款人不在成员中",IF(ISBLANK(E16),"填写金额",IF(NOT(ISNUMBER(E16)),"金额须为数字",IF(E16&lt;0,"金额不能小于0",IF(E16&lt;&gt;ROUND(E16,2),"金额最多两位小数",IF(COUNTIFS(F16:M16,"是")&lt;&gt;O16,"未设成员列不能选是",IF(COUNTA(F16:M16)&lt;&gt;COUNTIFS(F16:M16,"是")+COUNTIFS(F16:M16,"否"),"参与列只填是或否",IF(AND(E16&gt;0,O16=0),"至少1位参与者","已计入")))))))))))))</x:f>
      </x:c>
      <x:c r="O16" s="17" t="n">
        <x:f>SUMPRODUCT((F16:M16="是")*(F$7:M$7&lt;&gt;""))</x:f>
        <x:v>0</x:v>
      </x:c>
      <x:c r="P16" s="17" t="n">
        <x:f>IF(N16="已计入",ROUND(E16*100,0),0)</x:f>
        <x:v>0</x:v>
      </x:c>
      <x:c r="Q16" s="17" t="n">
        <x:f>IF(O16=0,0,INT(P16/O16))</x:f>
        <x:v>0</x:v>
      </x:c>
      <x:c r="R16" s="17" t="n">
        <x:f>IF(O16=0,0,MOD(P16,O16))</x:f>
        <x:v>0</x:v>
      </x:c>
      <x:c r="S16" s="16" t="n">
        <x:f>IF(AND(N16="已计入",F16="是",F$7&lt;&gt;""),($Q16+IF(COUNTIFS($F16:F16,"是")&lt;=$R16,1,0))/100,0)</x:f>
        <x:v>0</x:v>
      </x:c>
      <x:c r="T16" s="16" t="n">
        <x:f>IF(AND(N16="已计入",G16="是",G$7&lt;&gt;""),($Q16+IF(COUNTIFS($F16:G16,"是")&lt;=$R16,1,0))/100,0)</x:f>
        <x:v>0</x:v>
      </x:c>
      <x:c r="U16" s="16" t="n">
        <x:f>IF(AND(N16="已计入",H16="是",H$7&lt;&gt;""),($Q16+IF(COUNTIFS($F16:H16,"是")&lt;=$R16,1,0))/100,0)</x:f>
        <x:v>0</x:v>
      </x:c>
      <x:c r="V16" s="16" t="n">
        <x:f>IF(AND(N16="已计入",I16="是",I$7&lt;&gt;""),($Q16+IF(COUNTIFS($F16:I16,"是")&lt;=$R16,1,0))/100,0)</x:f>
        <x:v>0</x:v>
      </x:c>
      <x:c r="W16" s="16" t="n">
        <x:f>IF(AND(N16="已计入",J16="是",J$7&lt;&gt;""),($Q16+IF(COUNTIFS($F16:J16,"是")&lt;=$R16,1,0))/100,0)</x:f>
        <x:v>0</x:v>
      </x:c>
      <x:c r="X16" s="16" t="n">
        <x:f>IF(AND(N16="已计入",K16="是",K$7&lt;&gt;""),($Q16+IF(COUNTIFS($F16:K16,"是")&lt;=$R16,1,0))/100,0)</x:f>
        <x:v>0</x:v>
      </x:c>
      <x:c r="Y16" s="16" t="n">
        <x:f>IF(AND(N16="已计入",L16="是",L$7&lt;&gt;""),($Q16+IF(COUNTIFS($F16:L16,"是")&lt;=$R16,1,0))/100,0)</x:f>
        <x:v>0</x:v>
      </x:c>
      <x:c r="Z16" s="16" t="n">
        <x:f>IF(AND(N16="已计入",M16="是",M$7&lt;&gt;""),($Q16+IF(COUNTIFS($F16:M16,"是")&lt;=$R16,1,0))/100,0)</x:f>
        <x:v>0</x:v>
      </x:c>
    </x:row>
    <x:row r="17" ht="26" customHeight="1">
      <x:c r="A17" s="2" t="n">
        <x:v>10</x:v>
      </x:c>
      <x:c r="B17" s="14"/>
      <x:c r="C17" s="5"/>
      <x:c r="D17" s="5"/>
      <x:c r="E17" s="15"/>
      <x:c r="F17" s="12"/>
      <x:c r="G17" s="12"/>
      <x:c r="H17" s="12"/>
      <x:c r="I17" s="12"/>
      <x:c r="J17" s="12"/>
      <x:c r="K17" s="12"/>
      <x:c r="L17" s="12"/>
      <x:c r="M17" s="12"/>
      <x:c r="N17" s="13" t="str">
        <x:f>IF(COUNTA(B17:M17)=0,"",IF('成员设置'!$B$18&lt;2,"先设置至少2位成员",IF(COUNTIFS('成员设置'!$C$9:$C$16,"可用")&lt;&gt;'成员设置'!$B$18,"先修正成员昵称",IF(C17="","填写费用项目",IF(D17="","选择付款人",IF(COUNTIFS('成员设置'!$B$9:$B$16,D17)&lt;&gt;1,"付款人不在成员中",IF(ISBLANK(E17),"填写金额",IF(NOT(ISNUMBER(E17)),"金额须为数字",IF(E17&lt;0,"金额不能小于0",IF(E17&lt;&gt;ROUND(E17,2),"金额最多两位小数",IF(COUNTIFS(F17:M17,"是")&lt;&gt;O17,"未设成员列不能选是",IF(COUNTA(F17:M17)&lt;&gt;COUNTIFS(F17:M17,"是")+COUNTIFS(F17:M17,"否"),"参与列只填是或否",IF(AND(E17&gt;0,O17=0),"至少1位参与者","已计入")))))))))))))</x:f>
      </x:c>
      <x:c r="O17" s="17" t="n">
        <x:f>SUMPRODUCT((F17:M17="是")*(F$7:M$7&lt;&gt;""))</x:f>
        <x:v>0</x:v>
      </x:c>
      <x:c r="P17" s="17" t="n">
        <x:f>IF(N17="已计入",ROUND(E17*100,0),0)</x:f>
        <x:v>0</x:v>
      </x:c>
      <x:c r="Q17" s="17" t="n">
        <x:f>IF(O17=0,0,INT(P17/O17))</x:f>
        <x:v>0</x:v>
      </x:c>
      <x:c r="R17" s="17" t="n">
        <x:f>IF(O17=0,0,MOD(P17,O17))</x:f>
        <x:v>0</x:v>
      </x:c>
      <x:c r="S17" s="16" t="n">
        <x:f>IF(AND(N17="已计入",F17="是",F$7&lt;&gt;""),($Q17+IF(COUNTIFS($F17:F17,"是")&lt;=$R17,1,0))/100,0)</x:f>
        <x:v>0</x:v>
      </x:c>
      <x:c r="T17" s="16" t="n">
        <x:f>IF(AND(N17="已计入",G17="是",G$7&lt;&gt;""),($Q17+IF(COUNTIFS($F17:G17,"是")&lt;=$R17,1,0))/100,0)</x:f>
        <x:v>0</x:v>
      </x:c>
      <x:c r="U17" s="16" t="n">
        <x:f>IF(AND(N17="已计入",H17="是",H$7&lt;&gt;""),($Q17+IF(COUNTIFS($F17:H17,"是")&lt;=$R17,1,0))/100,0)</x:f>
        <x:v>0</x:v>
      </x:c>
      <x:c r="V17" s="16" t="n">
        <x:f>IF(AND(N17="已计入",I17="是",I$7&lt;&gt;""),($Q17+IF(COUNTIFS($F17:I17,"是")&lt;=$R17,1,0))/100,0)</x:f>
        <x:v>0</x:v>
      </x:c>
      <x:c r="W17" s="16" t="n">
        <x:f>IF(AND(N17="已计入",J17="是",J$7&lt;&gt;""),($Q17+IF(COUNTIFS($F17:J17,"是")&lt;=$R17,1,0))/100,0)</x:f>
        <x:v>0</x:v>
      </x:c>
      <x:c r="X17" s="16" t="n">
        <x:f>IF(AND(N17="已计入",K17="是",K$7&lt;&gt;""),($Q17+IF(COUNTIFS($F17:K17,"是")&lt;=$R17,1,0))/100,0)</x:f>
        <x:v>0</x:v>
      </x:c>
      <x:c r="Y17" s="16" t="n">
        <x:f>IF(AND(N17="已计入",L17="是",L$7&lt;&gt;""),($Q17+IF(COUNTIFS($F17:L17,"是")&lt;=$R17,1,0))/100,0)</x:f>
        <x:v>0</x:v>
      </x:c>
      <x:c r="Z17" s="16" t="n">
        <x:f>IF(AND(N17="已计入",M17="是",M$7&lt;&gt;""),($Q17+IF(COUNTIFS($F17:M17,"是")&lt;=$R17,1,0))/100,0)</x:f>
        <x:v>0</x:v>
      </x:c>
    </x:row>
    <x:row r="18" ht="26" customHeight="1">
      <x:c r="A18" s="2" t="n">
        <x:v>11</x:v>
      </x:c>
      <x:c r="B18" s="14"/>
      <x:c r="C18" s="5"/>
      <x:c r="D18" s="5"/>
      <x:c r="E18" s="15"/>
      <x:c r="F18" s="12"/>
      <x:c r="G18" s="12"/>
      <x:c r="H18" s="12"/>
      <x:c r="I18" s="12"/>
      <x:c r="J18" s="12"/>
      <x:c r="K18" s="12"/>
      <x:c r="L18" s="12"/>
      <x:c r="M18" s="12"/>
      <x:c r="N18" s="13" t="str">
        <x:f>IF(COUNTA(B18:M18)=0,"",IF('成员设置'!$B$18&lt;2,"先设置至少2位成员",IF(COUNTIFS('成员设置'!$C$9:$C$16,"可用")&lt;&gt;'成员设置'!$B$18,"先修正成员昵称",IF(C18="","填写费用项目",IF(D18="","选择付款人",IF(COUNTIFS('成员设置'!$B$9:$B$16,D18)&lt;&gt;1,"付款人不在成员中",IF(ISBLANK(E18),"填写金额",IF(NOT(ISNUMBER(E18)),"金额须为数字",IF(E18&lt;0,"金额不能小于0",IF(E18&lt;&gt;ROUND(E18,2),"金额最多两位小数",IF(COUNTIFS(F18:M18,"是")&lt;&gt;O18,"未设成员列不能选是",IF(COUNTA(F18:M18)&lt;&gt;COUNTIFS(F18:M18,"是")+COUNTIFS(F18:M18,"否"),"参与列只填是或否",IF(AND(E18&gt;0,O18=0),"至少1位参与者","已计入")))))))))))))</x:f>
      </x:c>
      <x:c r="O18" s="17" t="n">
        <x:f>SUMPRODUCT((F18:M18="是")*(F$7:M$7&lt;&gt;""))</x:f>
        <x:v>0</x:v>
      </x:c>
      <x:c r="P18" s="17" t="n">
        <x:f>IF(N18="已计入",ROUND(E18*100,0),0)</x:f>
        <x:v>0</x:v>
      </x:c>
      <x:c r="Q18" s="17" t="n">
        <x:f>IF(O18=0,0,INT(P18/O18))</x:f>
        <x:v>0</x:v>
      </x:c>
      <x:c r="R18" s="17" t="n">
        <x:f>IF(O18=0,0,MOD(P18,O18))</x:f>
        <x:v>0</x:v>
      </x:c>
      <x:c r="S18" s="16" t="n">
        <x:f>IF(AND(N18="已计入",F18="是",F$7&lt;&gt;""),($Q18+IF(COUNTIFS($F18:F18,"是")&lt;=$R18,1,0))/100,0)</x:f>
        <x:v>0</x:v>
      </x:c>
      <x:c r="T18" s="16" t="n">
        <x:f>IF(AND(N18="已计入",G18="是",G$7&lt;&gt;""),($Q18+IF(COUNTIFS($F18:G18,"是")&lt;=$R18,1,0))/100,0)</x:f>
        <x:v>0</x:v>
      </x:c>
      <x:c r="U18" s="16" t="n">
        <x:f>IF(AND(N18="已计入",H18="是",H$7&lt;&gt;""),($Q18+IF(COUNTIFS($F18:H18,"是")&lt;=$R18,1,0))/100,0)</x:f>
        <x:v>0</x:v>
      </x:c>
      <x:c r="V18" s="16" t="n">
        <x:f>IF(AND(N18="已计入",I18="是",I$7&lt;&gt;""),($Q18+IF(COUNTIFS($F18:I18,"是")&lt;=$R18,1,0))/100,0)</x:f>
        <x:v>0</x:v>
      </x:c>
      <x:c r="W18" s="16" t="n">
        <x:f>IF(AND(N18="已计入",J18="是",J$7&lt;&gt;""),($Q18+IF(COUNTIFS($F18:J18,"是")&lt;=$R18,1,0))/100,0)</x:f>
        <x:v>0</x:v>
      </x:c>
      <x:c r="X18" s="16" t="n">
        <x:f>IF(AND(N18="已计入",K18="是",K$7&lt;&gt;""),($Q18+IF(COUNTIFS($F18:K18,"是")&lt;=$R18,1,0))/100,0)</x:f>
        <x:v>0</x:v>
      </x:c>
      <x:c r="Y18" s="16" t="n">
        <x:f>IF(AND(N18="已计入",L18="是",L$7&lt;&gt;""),($Q18+IF(COUNTIFS($F18:L18,"是")&lt;=$R18,1,0))/100,0)</x:f>
        <x:v>0</x:v>
      </x:c>
      <x:c r="Z18" s="16" t="n">
        <x:f>IF(AND(N18="已计入",M18="是",M$7&lt;&gt;""),($Q18+IF(COUNTIFS($F18:M18,"是")&lt;=$R18,1,0))/100,0)</x:f>
        <x:v>0</x:v>
      </x:c>
    </x:row>
    <x:row r="19" ht="26" customHeight="1">
      <x:c r="A19" s="2" t="n">
        <x:v>12</x:v>
      </x:c>
      <x:c r="B19" s="14"/>
      <x:c r="C19" s="5"/>
      <x:c r="D19" s="5"/>
      <x:c r="E19" s="15"/>
      <x:c r="F19" s="12"/>
      <x:c r="G19" s="12"/>
      <x:c r="H19" s="12"/>
      <x:c r="I19" s="12"/>
      <x:c r="J19" s="12"/>
      <x:c r="K19" s="12"/>
      <x:c r="L19" s="12"/>
      <x:c r="M19" s="12"/>
      <x:c r="N19" s="13" t="str">
        <x:f>IF(COUNTA(B19:M19)=0,"",IF('成员设置'!$B$18&lt;2,"先设置至少2位成员",IF(COUNTIFS('成员设置'!$C$9:$C$16,"可用")&lt;&gt;'成员设置'!$B$18,"先修正成员昵称",IF(C19="","填写费用项目",IF(D19="","选择付款人",IF(COUNTIFS('成员设置'!$B$9:$B$16,D19)&lt;&gt;1,"付款人不在成员中",IF(ISBLANK(E19),"填写金额",IF(NOT(ISNUMBER(E19)),"金额须为数字",IF(E19&lt;0,"金额不能小于0",IF(E19&lt;&gt;ROUND(E19,2),"金额最多两位小数",IF(COUNTIFS(F19:M19,"是")&lt;&gt;O19,"未设成员列不能选是",IF(COUNTA(F19:M19)&lt;&gt;COUNTIFS(F19:M19,"是")+COUNTIFS(F19:M19,"否"),"参与列只填是或否",IF(AND(E19&gt;0,O19=0),"至少1位参与者","已计入")))))))))))))</x:f>
      </x:c>
      <x:c r="O19" s="17" t="n">
        <x:f>SUMPRODUCT((F19:M19="是")*(F$7:M$7&lt;&gt;""))</x:f>
        <x:v>0</x:v>
      </x:c>
      <x:c r="P19" s="17" t="n">
        <x:f>IF(N19="已计入",ROUND(E19*100,0),0)</x:f>
        <x:v>0</x:v>
      </x:c>
      <x:c r="Q19" s="17" t="n">
        <x:f>IF(O19=0,0,INT(P19/O19))</x:f>
        <x:v>0</x:v>
      </x:c>
      <x:c r="R19" s="17" t="n">
        <x:f>IF(O19=0,0,MOD(P19,O19))</x:f>
        <x:v>0</x:v>
      </x:c>
      <x:c r="S19" s="16" t="n">
        <x:f>IF(AND(N19="已计入",F19="是",F$7&lt;&gt;""),($Q19+IF(COUNTIFS($F19:F19,"是")&lt;=$R19,1,0))/100,0)</x:f>
        <x:v>0</x:v>
      </x:c>
      <x:c r="T19" s="16" t="n">
        <x:f>IF(AND(N19="已计入",G19="是",G$7&lt;&gt;""),($Q19+IF(COUNTIFS($F19:G19,"是")&lt;=$R19,1,0))/100,0)</x:f>
        <x:v>0</x:v>
      </x:c>
      <x:c r="U19" s="16" t="n">
        <x:f>IF(AND(N19="已计入",H19="是",H$7&lt;&gt;""),($Q19+IF(COUNTIFS($F19:H19,"是")&lt;=$R19,1,0))/100,0)</x:f>
        <x:v>0</x:v>
      </x:c>
      <x:c r="V19" s="16" t="n">
        <x:f>IF(AND(N19="已计入",I19="是",I$7&lt;&gt;""),($Q19+IF(COUNTIFS($F19:I19,"是")&lt;=$R19,1,0))/100,0)</x:f>
        <x:v>0</x:v>
      </x:c>
      <x:c r="W19" s="16" t="n">
        <x:f>IF(AND(N19="已计入",J19="是",J$7&lt;&gt;""),($Q19+IF(COUNTIFS($F19:J19,"是")&lt;=$R19,1,0))/100,0)</x:f>
        <x:v>0</x:v>
      </x:c>
      <x:c r="X19" s="16" t="n">
        <x:f>IF(AND(N19="已计入",K19="是",K$7&lt;&gt;""),($Q19+IF(COUNTIFS($F19:K19,"是")&lt;=$R19,1,0))/100,0)</x:f>
        <x:v>0</x:v>
      </x:c>
      <x:c r="Y19" s="16" t="n">
        <x:f>IF(AND(N19="已计入",L19="是",L$7&lt;&gt;""),($Q19+IF(COUNTIFS($F19:L19,"是")&lt;=$R19,1,0))/100,0)</x:f>
        <x:v>0</x:v>
      </x:c>
      <x:c r="Z19" s="16" t="n">
        <x:f>IF(AND(N19="已计入",M19="是",M$7&lt;&gt;""),($Q19+IF(COUNTIFS($F19:M19,"是")&lt;=$R19,1,0))/100,0)</x:f>
        <x:v>0</x:v>
      </x:c>
    </x:row>
    <x:row r="20" ht="26" customHeight="1">
      <x:c r="A20" s="2" t="n">
        <x:v>13</x:v>
      </x:c>
      <x:c r="B20" s="14"/>
      <x:c r="C20" s="5"/>
      <x:c r="D20" s="5"/>
      <x:c r="E20" s="15"/>
      <x:c r="F20" s="12"/>
      <x:c r="G20" s="12"/>
      <x:c r="H20" s="12"/>
      <x:c r="I20" s="12"/>
      <x:c r="J20" s="12"/>
      <x:c r="K20" s="12"/>
      <x:c r="L20" s="12"/>
      <x:c r="M20" s="12"/>
      <x:c r="N20" s="13" t="str">
        <x:f>IF(COUNTA(B20:M20)=0,"",IF('成员设置'!$B$18&lt;2,"先设置至少2位成员",IF(COUNTIFS('成员设置'!$C$9:$C$16,"可用")&lt;&gt;'成员设置'!$B$18,"先修正成员昵称",IF(C20="","填写费用项目",IF(D20="","选择付款人",IF(COUNTIFS('成员设置'!$B$9:$B$16,D20)&lt;&gt;1,"付款人不在成员中",IF(ISBLANK(E20),"填写金额",IF(NOT(ISNUMBER(E20)),"金额须为数字",IF(E20&lt;0,"金额不能小于0",IF(E20&lt;&gt;ROUND(E20,2),"金额最多两位小数",IF(COUNTIFS(F20:M20,"是")&lt;&gt;O20,"未设成员列不能选是",IF(COUNTA(F20:M20)&lt;&gt;COUNTIFS(F20:M20,"是")+COUNTIFS(F20:M20,"否"),"参与列只填是或否",IF(AND(E20&gt;0,O20=0),"至少1位参与者","已计入")))))))))))))</x:f>
      </x:c>
      <x:c r="O20" s="17" t="n">
        <x:f>SUMPRODUCT((F20:M20="是")*(F$7:M$7&lt;&gt;""))</x:f>
        <x:v>0</x:v>
      </x:c>
      <x:c r="P20" s="17" t="n">
        <x:f>IF(N20="已计入",ROUND(E20*100,0),0)</x:f>
        <x:v>0</x:v>
      </x:c>
      <x:c r="Q20" s="17" t="n">
        <x:f>IF(O20=0,0,INT(P20/O20))</x:f>
        <x:v>0</x:v>
      </x:c>
      <x:c r="R20" s="17" t="n">
        <x:f>IF(O20=0,0,MOD(P20,O20))</x:f>
        <x:v>0</x:v>
      </x:c>
      <x:c r="S20" s="16" t="n">
        <x:f>IF(AND(N20="已计入",F20="是",F$7&lt;&gt;""),($Q20+IF(COUNTIFS($F20:F20,"是")&lt;=$R20,1,0))/100,0)</x:f>
        <x:v>0</x:v>
      </x:c>
      <x:c r="T20" s="16" t="n">
        <x:f>IF(AND(N20="已计入",G20="是",G$7&lt;&gt;""),($Q20+IF(COUNTIFS($F20:G20,"是")&lt;=$R20,1,0))/100,0)</x:f>
        <x:v>0</x:v>
      </x:c>
      <x:c r="U20" s="16" t="n">
        <x:f>IF(AND(N20="已计入",H20="是",H$7&lt;&gt;""),($Q20+IF(COUNTIFS($F20:H20,"是")&lt;=$R20,1,0))/100,0)</x:f>
        <x:v>0</x:v>
      </x:c>
      <x:c r="V20" s="16" t="n">
        <x:f>IF(AND(N20="已计入",I20="是",I$7&lt;&gt;""),($Q20+IF(COUNTIFS($F20:I20,"是")&lt;=$R20,1,0))/100,0)</x:f>
        <x:v>0</x:v>
      </x:c>
      <x:c r="W20" s="16" t="n">
        <x:f>IF(AND(N20="已计入",J20="是",J$7&lt;&gt;""),($Q20+IF(COUNTIFS($F20:J20,"是")&lt;=$R20,1,0))/100,0)</x:f>
        <x:v>0</x:v>
      </x:c>
      <x:c r="X20" s="16" t="n">
        <x:f>IF(AND(N20="已计入",K20="是",K$7&lt;&gt;""),($Q20+IF(COUNTIFS($F20:K20,"是")&lt;=$R20,1,0))/100,0)</x:f>
        <x:v>0</x:v>
      </x:c>
      <x:c r="Y20" s="16" t="n">
        <x:f>IF(AND(N20="已计入",L20="是",L$7&lt;&gt;""),($Q20+IF(COUNTIFS($F20:L20,"是")&lt;=$R20,1,0))/100,0)</x:f>
        <x:v>0</x:v>
      </x:c>
      <x:c r="Z20" s="16" t="n">
        <x:f>IF(AND(N20="已计入",M20="是",M$7&lt;&gt;""),($Q20+IF(COUNTIFS($F20:M20,"是")&lt;=$R20,1,0))/100,0)</x:f>
        <x:v>0</x:v>
      </x:c>
    </x:row>
    <x:row r="21" ht="26" customHeight="1">
      <x:c r="A21" s="2" t="n">
        <x:v>14</x:v>
      </x:c>
      <x:c r="B21" s="14"/>
      <x:c r="C21" s="5"/>
      <x:c r="D21" s="5"/>
      <x:c r="E21" s="15"/>
      <x:c r="F21" s="12"/>
      <x:c r="G21" s="12"/>
      <x:c r="H21" s="12"/>
      <x:c r="I21" s="12"/>
      <x:c r="J21" s="12"/>
      <x:c r="K21" s="12"/>
      <x:c r="L21" s="12"/>
      <x:c r="M21" s="12"/>
      <x:c r="N21" s="13" t="str">
        <x:f>IF(COUNTA(B21:M21)=0,"",IF('成员设置'!$B$18&lt;2,"先设置至少2位成员",IF(COUNTIFS('成员设置'!$C$9:$C$16,"可用")&lt;&gt;'成员设置'!$B$18,"先修正成员昵称",IF(C21="","填写费用项目",IF(D21="","选择付款人",IF(COUNTIFS('成员设置'!$B$9:$B$16,D21)&lt;&gt;1,"付款人不在成员中",IF(ISBLANK(E21),"填写金额",IF(NOT(ISNUMBER(E21)),"金额须为数字",IF(E21&lt;0,"金额不能小于0",IF(E21&lt;&gt;ROUND(E21,2),"金额最多两位小数",IF(COUNTIFS(F21:M21,"是")&lt;&gt;O21,"未设成员列不能选是",IF(COUNTA(F21:M21)&lt;&gt;COUNTIFS(F21:M21,"是")+COUNTIFS(F21:M21,"否"),"参与列只填是或否",IF(AND(E21&gt;0,O21=0),"至少1位参与者","已计入")))))))))))))</x:f>
      </x:c>
      <x:c r="O21" s="17" t="n">
        <x:f>SUMPRODUCT((F21:M21="是")*(F$7:M$7&lt;&gt;""))</x:f>
        <x:v>0</x:v>
      </x:c>
      <x:c r="P21" s="17" t="n">
        <x:f>IF(N21="已计入",ROUND(E21*100,0),0)</x:f>
        <x:v>0</x:v>
      </x:c>
      <x:c r="Q21" s="17" t="n">
        <x:f>IF(O21=0,0,INT(P21/O21))</x:f>
        <x:v>0</x:v>
      </x:c>
      <x:c r="R21" s="17" t="n">
        <x:f>IF(O21=0,0,MOD(P21,O21))</x:f>
        <x:v>0</x:v>
      </x:c>
      <x:c r="S21" s="16" t="n">
        <x:f>IF(AND(N21="已计入",F21="是",F$7&lt;&gt;""),($Q21+IF(COUNTIFS($F21:F21,"是")&lt;=$R21,1,0))/100,0)</x:f>
        <x:v>0</x:v>
      </x:c>
      <x:c r="T21" s="16" t="n">
        <x:f>IF(AND(N21="已计入",G21="是",G$7&lt;&gt;""),($Q21+IF(COUNTIFS($F21:G21,"是")&lt;=$R21,1,0))/100,0)</x:f>
        <x:v>0</x:v>
      </x:c>
      <x:c r="U21" s="16" t="n">
        <x:f>IF(AND(N21="已计入",H21="是",H$7&lt;&gt;""),($Q21+IF(COUNTIFS($F21:H21,"是")&lt;=$R21,1,0))/100,0)</x:f>
        <x:v>0</x:v>
      </x:c>
      <x:c r="V21" s="16" t="n">
        <x:f>IF(AND(N21="已计入",I21="是",I$7&lt;&gt;""),($Q21+IF(COUNTIFS($F21:I21,"是")&lt;=$R21,1,0))/100,0)</x:f>
        <x:v>0</x:v>
      </x:c>
      <x:c r="W21" s="16" t="n">
        <x:f>IF(AND(N21="已计入",J21="是",J$7&lt;&gt;""),($Q21+IF(COUNTIFS($F21:J21,"是")&lt;=$R21,1,0))/100,0)</x:f>
        <x:v>0</x:v>
      </x:c>
      <x:c r="X21" s="16" t="n">
        <x:f>IF(AND(N21="已计入",K21="是",K$7&lt;&gt;""),($Q21+IF(COUNTIFS($F21:K21,"是")&lt;=$R21,1,0))/100,0)</x:f>
        <x:v>0</x:v>
      </x:c>
      <x:c r="Y21" s="16" t="n">
        <x:f>IF(AND(N21="已计入",L21="是",L$7&lt;&gt;""),($Q21+IF(COUNTIFS($F21:L21,"是")&lt;=$R21,1,0))/100,0)</x:f>
        <x:v>0</x:v>
      </x:c>
      <x:c r="Z21" s="16" t="n">
        <x:f>IF(AND(N21="已计入",M21="是",M$7&lt;&gt;""),($Q21+IF(COUNTIFS($F21:M21,"是")&lt;=$R21,1,0))/100,0)</x:f>
        <x:v>0</x:v>
      </x:c>
    </x:row>
    <x:row r="22" ht="26" customHeight="1">
      <x:c r="A22" s="2" t="n">
        <x:v>15</x:v>
      </x:c>
      <x:c r="B22" s="14"/>
      <x:c r="C22" s="5"/>
      <x:c r="D22" s="5"/>
      <x:c r="E22" s="15"/>
      <x:c r="F22" s="12"/>
      <x:c r="G22" s="12"/>
      <x:c r="H22" s="12"/>
      <x:c r="I22" s="12"/>
      <x:c r="J22" s="12"/>
      <x:c r="K22" s="12"/>
      <x:c r="L22" s="12"/>
      <x:c r="M22" s="12"/>
      <x:c r="N22" s="13" t="str">
        <x:f>IF(COUNTA(B22:M22)=0,"",IF('成员设置'!$B$18&lt;2,"先设置至少2位成员",IF(COUNTIFS('成员设置'!$C$9:$C$16,"可用")&lt;&gt;'成员设置'!$B$18,"先修正成员昵称",IF(C22="","填写费用项目",IF(D22="","选择付款人",IF(COUNTIFS('成员设置'!$B$9:$B$16,D22)&lt;&gt;1,"付款人不在成员中",IF(ISBLANK(E22),"填写金额",IF(NOT(ISNUMBER(E22)),"金额须为数字",IF(E22&lt;0,"金额不能小于0",IF(E22&lt;&gt;ROUND(E22,2),"金额最多两位小数",IF(COUNTIFS(F22:M22,"是")&lt;&gt;O22,"未设成员列不能选是",IF(COUNTA(F22:M22)&lt;&gt;COUNTIFS(F22:M22,"是")+COUNTIFS(F22:M22,"否"),"参与列只填是或否",IF(AND(E22&gt;0,O22=0),"至少1位参与者","已计入")))))))))))))</x:f>
      </x:c>
      <x:c r="O22" s="17" t="n">
        <x:f>SUMPRODUCT((F22:M22="是")*(F$7:M$7&lt;&gt;""))</x:f>
        <x:v>0</x:v>
      </x:c>
      <x:c r="P22" s="17" t="n">
        <x:f>IF(N22="已计入",ROUND(E22*100,0),0)</x:f>
        <x:v>0</x:v>
      </x:c>
      <x:c r="Q22" s="17" t="n">
        <x:f>IF(O22=0,0,INT(P22/O22))</x:f>
        <x:v>0</x:v>
      </x:c>
      <x:c r="R22" s="17" t="n">
        <x:f>IF(O22=0,0,MOD(P22,O22))</x:f>
        <x:v>0</x:v>
      </x:c>
      <x:c r="S22" s="16" t="n">
        <x:f>IF(AND(N22="已计入",F22="是",F$7&lt;&gt;""),($Q22+IF(COUNTIFS($F22:F22,"是")&lt;=$R22,1,0))/100,0)</x:f>
        <x:v>0</x:v>
      </x:c>
      <x:c r="T22" s="16" t="n">
        <x:f>IF(AND(N22="已计入",G22="是",G$7&lt;&gt;""),($Q22+IF(COUNTIFS($F22:G22,"是")&lt;=$R22,1,0))/100,0)</x:f>
        <x:v>0</x:v>
      </x:c>
      <x:c r="U22" s="16" t="n">
        <x:f>IF(AND(N22="已计入",H22="是",H$7&lt;&gt;""),($Q22+IF(COUNTIFS($F22:H22,"是")&lt;=$R22,1,0))/100,0)</x:f>
        <x:v>0</x:v>
      </x:c>
      <x:c r="V22" s="16" t="n">
        <x:f>IF(AND(N22="已计入",I22="是",I$7&lt;&gt;""),($Q22+IF(COUNTIFS($F22:I22,"是")&lt;=$R22,1,0))/100,0)</x:f>
        <x:v>0</x:v>
      </x:c>
      <x:c r="W22" s="16" t="n">
        <x:f>IF(AND(N22="已计入",J22="是",J$7&lt;&gt;""),($Q22+IF(COUNTIFS($F22:J22,"是")&lt;=$R22,1,0))/100,0)</x:f>
        <x:v>0</x:v>
      </x:c>
      <x:c r="X22" s="16" t="n">
        <x:f>IF(AND(N22="已计入",K22="是",K$7&lt;&gt;""),($Q22+IF(COUNTIFS($F22:K22,"是")&lt;=$R22,1,0))/100,0)</x:f>
        <x:v>0</x:v>
      </x:c>
      <x:c r="Y22" s="16" t="n">
        <x:f>IF(AND(N22="已计入",L22="是",L$7&lt;&gt;""),($Q22+IF(COUNTIFS($F22:L22,"是")&lt;=$R22,1,0))/100,0)</x:f>
        <x:v>0</x:v>
      </x:c>
      <x:c r="Z22" s="16" t="n">
        <x:f>IF(AND(N22="已计入",M22="是",M$7&lt;&gt;""),($Q22+IF(COUNTIFS($F22:M22,"是")&lt;=$R22,1,0))/100,0)</x:f>
        <x:v>0</x:v>
      </x:c>
    </x:row>
    <x:row r="23" ht="26" customHeight="1">
      <x:c r="A23" s="2" t="n">
        <x:v>16</x:v>
      </x:c>
      <x:c r="B23" s="14"/>
      <x:c r="C23" s="5"/>
      <x:c r="D23" s="5"/>
      <x:c r="E23" s="15"/>
      <x:c r="F23" s="12"/>
      <x:c r="G23" s="12"/>
      <x:c r="H23" s="12"/>
      <x:c r="I23" s="12"/>
      <x:c r="J23" s="12"/>
      <x:c r="K23" s="12"/>
      <x:c r="L23" s="12"/>
      <x:c r="M23" s="12"/>
      <x:c r="N23" s="13" t="str">
        <x:f>IF(COUNTA(B23:M23)=0,"",IF('成员设置'!$B$18&lt;2,"先设置至少2位成员",IF(COUNTIFS('成员设置'!$C$9:$C$16,"可用")&lt;&gt;'成员设置'!$B$18,"先修正成员昵称",IF(C23="","填写费用项目",IF(D23="","选择付款人",IF(COUNTIFS('成员设置'!$B$9:$B$16,D23)&lt;&gt;1,"付款人不在成员中",IF(ISBLANK(E23),"填写金额",IF(NOT(ISNUMBER(E23)),"金额须为数字",IF(E23&lt;0,"金额不能小于0",IF(E23&lt;&gt;ROUND(E23,2),"金额最多两位小数",IF(COUNTIFS(F23:M23,"是")&lt;&gt;O23,"未设成员列不能选是",IF(COUNTA(F23:M23)&lt;&gt;COUNTIFS(F23:M23,"是")+COUNTIFS(F23:M23,"否"),"参与列只填是或否",IF(AND(E23&gt;0,O23=0),"至少1位参与者","已计入")))))))))))))</x:f>
      </x:c>
      <x:c r="O23" s="17" t="n">
        <x:f>SUMPRODUCT((F23:M23="是")*(F$7:M$7&lt;&gt;""))</x:f>
        <x:v>0</x:v>
      </x:c>
      <x:c r="P23" s="17" t="n">
        <x:f>IF(N23="已计入",ROUND(E23*100,0),0)</x:f>
        <x:v>0</x:v>
      </x:c>
      <x:c r="Q23" s="17" t="n">
        <x:f>IF(O23=0,0,INT(P23/O23))</x:f>
        <x:v>0</x:v>
      </x:c>
      <x:c r="R23" s="17" t="n">
        <x:f>IF(O23=0,0,MOD(P23,O23))</x:f>
        <x:v>0</x:v>
      </x:c>
      <x:c r="S23" s="16" t="n">
        <x:f>IF(AND(N23="已计入",F23="是",F$7&lt;&gt;""),($Q23+IF(COUNTIFS($F23:F23,"是")&lt;=$R23,1,0))/100,0)</x:f>
        <x:v>0</x:v>
      </x:c>
      <x:c r="T23" s="16" t="n">
        <x:f>IF(AND(N23="已计入",G23="是",G$7&lt;&gt;""),($Q23+IF(COUNTIFS($F23:G23,"是")&lt;=$R23,1,0))/100,0)</x:f>
        <x:v>0</x:v>
      </x:c>
      <x:c r="U23" s="16" t="n">
        <x:f>IF(AND(N23="已计入",H23="是",H$7&lt;&gt;""),($Q23+IF(COUNTIFS($F23:H23,"是")&lt;=$R23,1,0))/100,0)</x:f>
        <x:v>0</x:v>
      </x:c>
      <x:c r="V23" s="16" t="n">
        <x:f>IF(AND(N23="已计入",I23="是",I$7&lt;&gt;""),($Q23+IF(COUNTIFS($F23:I23,"是")&lt;=$R23,1,0))/100,0)</x:f>
        <x:v>0</x:v>
      </x:c>
      <x:c r="W23" s="16" t="n">
        <x:f>IF(AND(N23="已计入",J23="是",J$7&lt;&gt;""),($Q23+IF(COUNTIFS($F23:J23,"是")&lt;=$R23,1,0))/100,0)</x:f>
        <x:v>0</x:v>
      </x:c>
      <x:c r="X23" s="16" t="n">
        <x:f>IF(AND(N23="已计入",K23="是",K$7&lt;&gt;""),($Q23+IF(COUNTIFS($F23:K23,"是")&lt;=$R23,1,0))/100,0)</x:f>
        <x:v>0</x:v>
      </x:c>
      <x:c r="Y23" s="16" t="n">
        <x:f>IF(AND(N23="已计入",L23="是",L$7&lt;&gt;""),($Q23+IF(COUNTIFS($F23:L23,"是")&lt;=$R23,1,0))/100,0)</x:f>
        <x:v>0</x:v>
      </x:c>
      <x:c r="Z23" s="16" t="n">
        <x:f>IF(AND(N23="已计入",M23="是",M$7&lt;&gt;""),($Q23+IF(COUNTIFS($F23:M23,"是")&lt;=$R23,1,0))/100,0)</x:f>
        <x:v>0</x:v>
      </x:c>
    </x:row>
    <x:row r="24" ht="26" customHeight="1">
      <x:c r="A24" s="2" t="n">
        <x:v>17</x:v>
      </x:c>
      <x:c r="B24" s="14"/>
      <x:c r="C24" s="5"/>
      <x:c r="D24" s="5"/>
      <x:c r="E24" s="15"/>
      <x:c r="F24" s="12"/>
      <x:c r="G24" s="12"/>
      <x:c r="H24" s="12"/>
      <x:c r="I24" s="12"/>
      <x:c r="J24" s="12"/>
      <x:c r="K24" s="12"/>
      <x:c r="L24" s="12"/>
      <x:c r="M24" s="12"/>
      <x:c r="N24" s="13" t="str">
        <x:f>IF(COUNTA(B24:M24)=0,"",IF('成员设置'!$B$18&lt;2,"先设置至少2位成员",IF(COUNTIFS('成员设置'!$C$9:$C$16,"可用")&lt;&gt;'成员设置'!$B$18,"先修正成员昵称",IF(C24="","填写费用项目",IF(D24="","选择付款人",IF(COUNTIFS('成员设置'!$B$9:$B$16,D24)&lt;&gt;1,"付款人不在成员中",IF(ISBLANK(E24),"填写金额",IF(NOT(ISNUMBER(E24)),"金额须为数字",IF(E24&lt;0,"金额不能小于0",IF(E24&lt;&gt;ROUND(E24,2),"金额最多两位小数",IF(COUNTIFS(F24:M24,"是")&lt;&gt;O24,"未设成员列不能选是",IF(COUNTA(F24:M24)&lt;&gt;COUNTIFS(F24:M24,"是")+COUNTIFS(F24:M24,"否"),"参与列只填是或否",IF(AND(E24&gt;0,O24=0),"至少1位参与者","已计入")))))))))))))</x:f>
      </x:c>
      <x:c r="O24" s="17" t="n">
        <x:f>SUMPRODUCT((F24:M24="是")*(F$7:M$7&lt;&gt;""))</x:f>
        <x:v>0</x:v>
      </x:c>
      <x:c r="P24" s="17" t="n">
        <x:f>IF(N24="已计入",ROUND(E24*100,0),0)</x:f>
        <x:v>0</x:v>
      </x:c>
      <x:c r="Q24" s="17" t="n">
        <x:f>IF(O24=0,0,INT(P24/O24))</x:f>
        <x:v>0</x:v>
      </x:c>
      <x:c r="R24" s="17" t="n">
        <x:f>IF(O24=0,0,MOD(P24,O24))</x:f>
        <x:v>0</x:v>
      </x:c>
      <x:c r="S24" s="16" t="n">
        <x:f>IF(AND(N24="已计入",F24="是",F$7&lt;&gt;""),($Q24+IF(COUNTIFS($F24:F24,"是")&lt;=$R24,1,0))/100,0)</x:f>
        <x:v>0</x:v>
      </x:c>
      <x:c r="T24" s="16" t="n">
        <x:f>IF(AND(N24="已计入",G24="是",G$7&lt;&gt;""),($Q24+IF(COUNTIFS($F24:G24,"是")&lt;=$R24,1,0))/100,0)</x:f>
        <x:v>0</x:v>
      </x:c>
      <x:c r="U24" s="16" t="n">
        <x:f>IF(AND(N24="已计入",H24="是",H$7&lt;&gt;""),($Q24+IF(COUNTIFS($F24:H24,"是")&lt;=$R24,1,0))/100,0)</x:f>
        <x:v>0</x:v>
      </x:c>
      <x:c r="V24" s="16" t="n">
        <x:f>IF(AND(N24="已计入",I24="是",I$7&lt;&gt;""),($Q24+IF(COUNTIFS($F24:I24,"是")&lt;=$R24,1,0))/100,0)</x:f>
        <x:v>0</x:v>
      </x:c>
      <x:c r="W24" s="16" t="n">
        <x:f>IF(AND(N24="已计入",J24="是",J$7&lt;&gt;""),($Q24+IF(COUNTIFS($F24:J24,"是")&lt;=$R24,1,0))/100,0)</x:f>
        <x:v>0</x:v>
      </x:c>
      <x:c r="X24" s="16" t="n">
        <x:f>IF(AND(N24="已计入",K24="是",K$7&lt;&gt;""),($Q24+IF(COUNTIFS($F24:K24,"是")&lt;=$R24,1,0))/100,0)</x:f>
        <x:v>0</x:v>
      </x:c>
      <x:c r="Y24" s="16" t="n">
        <x:f>IF(AND(N24="已计入",L24="是",L$7&lt;&gt;""),($Q24+IF(COUNTIFS($F24:L24,"是")&lt;=$R24,1,0))/100,0)</x:f>
        <x:v>0</x:v>
      </x:c>
      <x:c r="Z24" s="16" t="n">
        <x:f>IF(AND(N24="已计入",M24="是",M$7&lt;&gt;""),($Q24+IF(COUNTIFS($F24:M24,"是")&lt;=$R24,1,0))/100,0)</x:f>
        <x:v>0</x:v>
      </x:c>
    </x:row>
    <x:row r="25" ht="26" customHeight="1">
      <x:c r="A25" s="2" t="n">
        <x:v>18</x:v>
      </x:c>
      <x:c r="B25" s="14"/>
      <x:c r="C25" s="5"/>
      <x:c r="D25" s="5"/>
      <x:c r="E25" s="15"/>
      <x:c r="F25" s="12"/>
      <x:c r="G25" s="12"/>
      <x:c r="H25" s="12"/>
      <x:c r="I25" s="12"/>
      <x:c r="J25" s="12"/>
      <x:c r="K25" s="12"/>
      <x:c r="L25" s="12"/>
      <x:c r="M25" s="12"/>
      <x:c r="N25" s="13" t="str">
        <x:f>IF(COUNTA(B25:M25)=0,"",IF('成员设置'!$B$18&lt;2,"先设置至少2位成员",IF(COUNTIFS('成员设置'!$C$9:$C$16,"可用")&lt;&gt;'成员设置'!$B$18,"先修正成员昵称",IF(C25="","填写费用项目",IF(D25="","选择付款人",IF(COUNTIFS('成员设置'!$B$9:$B$16,D25)&lt;&gt;1,"付款人不在成员中",IF(ISBLANK(E25),"填写金额",IF(NOT(ISNUMBER(E25)),"金额须为数字",IF(E25&lt;0,"金额不能小于0",IF(E25&lt;&gt;ROUND(E25,2),"金额最多两位小数",IF(COUNTIFS(F25:M25,"是")&lt;&gt;O25,"未设成员列不能选是",IF(COUNTA(F25:M25)&lt;&gt;COUNTIFS(F25:M25,"是")+COUNTIFS(F25:M25,"否"),"参与列只填是或否",IF(AND(E25&gt;0,O25=0),"至少1位参与者","已计入")))))))))))))</x:f>
      </x:c>
      <x:c r="O25" s="17" t="n">
        <x:f>SUMPRODUCT((F25:M25="是")*(F$7:M$7&lt;&gt;""))</x:f>
        <x:v>0</x:v>
      </x:c>
      <x:c r="P25" s="17" t="n">
        <x:f>IF(N25="已计入",ROUND(E25*100,0),0)</x:f>
        <x:v>0</x:v>
      </x:c>
      <x:c r="Q25" s="17" t="n">
        <x:f>IF(O25=0,0,INT(P25/O25))</x:f>
        <x:v>0</x:v>
      </x:c>
      <x:c r="R25" s="17" t="n">
        <x:f>IF(O25=0,0,MOD(P25,O25))</x:f>
        <x:v>0</x:v>
      </x:c>
      <x:c r="S25" s="16" t="n">
        <x:f>IF(AND(N25="已计入",F25="是",F$7&lt;&gt;""),($Q25+IF(COUNTIFS($F25:F25,"是")&lt;=$R25,1,0))/100,0)</x:f>
        <x:v>0</x:v>
      </x:c>
      <x:c r="T25" s="16" t="n">
        <x:f>IF(AND(N25="已计入",G25="是",G$7&lt;&gt;""),($Q25+IF(COUNTIFS($F25:G25,"是")&lt;=$R25,1,0))/100,0)</x:f>
        <x:v>0</x:v>
      </x:c>
      <x:c r="U25" s="16" t="n">
        <x:f>IF(AND(N25="已计入",H25="是",H$7&lt;&gt;""),($Q25+IF(COUNTIFS($F25:H25,"是")&lt;=$R25,1,0))/100,0)</x:f>
        <x:v>0</x:v>
      </x:c>
      <x:c r="V25" s="16" t="n">
        <x:f>IF(AND(N25="已计入",I25="是",I$7&lt;&gt;""),($Q25+IF(COUNTIFS($F25:I25,"是")&lt;=$R25,1,0))/100,0)</x:f>
        <x:v>0</x:v>
      </x:c>
      <x:c r="W25" s="16" t="n">
        <x:f>IF(AND(N25="已计入",J25="是",J$7&lt;&gt;""),($Q25+IF(COUNTIFS($F25:J25,"是")&lt;=$R25,1,0))/100,0)</x:f>
        <x:v>0</x:v>
      </x:c>
      <x:c r="X25" s="16" t="n">
        <x:f>IF(AND(N25="已计入",K25="是",K$7&lt;&gt;""),($Q25+IF(COUNTIFS($F25:K25,"是")&lt;=$R25,1,0))/100,0)</x:f>
        <x:v>0</x:v>
      </x:c>
      <x:c r="Y25" s="16" t="n">
        <x:f>IF(AND(N25="已计入",L25="是",L$7&lt;&gt;""),($Q25+IF(COUNTIFS($F25:L25,"是")&lt;=$R25,1,0))/100,0)</x:f>
        <x:v>0</x:v>
      </x:c>
      <x:c r="Z25" s="16" t="n">
        <x:f>IF(AND(N25="已计入",M25="是",M$7&lt;&gt;""),($Q25+IF(COUNTIFS($F25:M25,"是")&lt;=$R25,1,0))/100,0)</x:f>
        <x:v>0</x:v>
      </x:c>
    </x:row>
    <x:row r="26" ht="26" customHeight="1">
      <x:c r="A26" s="2" t="n">
        <x:v>19</x:v>
      </x:c>
      <x:c r="B26" s="14"/>
      <x:c r="C26" s="5"/>
      <x:c r="D26" s="5"/>
      <x:c r="E26" s="15"/>
      <x:c r="F26" s="12"/>
      <x:c r="G26" s="12"/>
      <x:c r="H26" s="12"/>
      <x:c r="I26" s="12"/>
      <x:c r="J26" s="12"/>
      <x:c r="K26" s="12"/>
      <x:c r="L26" s="12"/>
      <x:c r="M26" s="12"/>
      <x:c r="N26" s="13" t="str">
        <x:f>IF(COUNTA(B26:M26)=0,"",IF('成员设置'!$B$18&lt;2,"先设置至少2位成员",IF(COUNTIFS('成员设置'!$C$9:$C$16,"可用")&lt;&gt;'成员设置'!$B$18,"先修正成员昵称",IF(C26="","填写费用项目",IF(D26="","选择付款人",IF(COUNTIFS('成员设置'!$B$9:$B$16,D26)&lt;&gt;1,"付款人不在成员中",IF(ISBLANK(E26),"填写金额",IF(NOT(ISNUMBER(E26)),"金额须为数字",IF(E26&lt;0,"金额不能小于0",IF(E26&lt;&gt;ROUND(E26,2),"金额最多两位小数",IF(COUNTIFS(F26:M26,"是")&lt;&gt;O26,"未设成员列不能选是",IF(COUNTA(F26:M26)&lt;&gt;COUNTIFS(F26:M26,"是")+COUNTIFS(F26:M26,"否"),"参与列只填是或否",IF(AND(E26&gt;0,O26=0),"至少1位参与者","已计入")))))))))))))</x:f>
      </x:c>
      <x:c r="O26" s="17" t="n">
        <x:f>SUMPRODUCT((F26:M26="是")*(F$7:M$7&lt;&gt;""))</x:f>
        <x:v>0</x:v>
      </x:c>
      <x:c r="P26" s="17" t="n">
        <x:f>IF(N26="已计入",ROUND(E26*100,0),0)</x:f>
        <x:v>0</x:v>
      </x:c>
      <x:c r="Q26" s="17" t="n">
        <x:f>IF(O26=0,0,INT(P26/O26))</x:f>
        <x:v>0</x:v>
      </x:c>
      <x:c r="R26" s="17" t="n">
        <x:f>IF(O26=0,0,MOD(P26,O26))</x:f>
        <x:v>0</x:v>
      </x:c>
      <x:c r="S26" s="16" t="n">
        <x:f>IF(AND(N26="已计入",F26="是",F$7&lt;&gt;""),($Q26+IF(COUNTIFS($F26:F26,"是")&lt;=$R26,1,0))/100,0)</x:f>
        <x:v>0</x:v>
      </x:c>
      <x:c r="T26" s="16" t="n">
        <x:f>IF(AND(N26="已计入",G26="是",G$7&lt;&gt;""),($Q26+IF(COUNTIFS($F26:G26,"是")&lt;=$R26,1,0))/100,0)</x:f>
        <x:v>0</x:v>
      </x:c>
      <x:c r="U26" s="16" t="n">
        <x:f>IF(AND(N26="已计入",H26="是",H$7&lt;&gt;""),($Q26+IF(COUNTIFS($F26:H26,"是")&lt;=$R26,1,0))/100,0)</x:f>
        <x:v>0</x:v>
      </x:c>
      <x:c r="V26" s="16" t="n">
        <x:f>IF(AND(N26="已计入",I26="是",I$7&lt;&gt;""),($Q26+IF(COUNTIFS($F26:I26,"是")&lt;=$R26,1,0))/100,0)</x:f>
        <x:v>0</x:v>
      </x:c>
      <x:c r="W26" s="16" t="n">
        <x:f>IF(AND(N26="已计入",J26="是",J$7&lt;&gt;""),($Q26+IF(COUNTIFS($F26:J26,"是")&lt;=$R26,1,0))/100,0)</x:f>
        <x:v>0</x:v>
      </x:c>
      <x:c r="X26" s="16" t="n">
        <x:f>IF(AND(N26="已计入",K26="是",K$7&lt;&gt;""),($Q26+IF(COUNTIFS($F26:K26,"是")&lt;=$R26,1,0))/100,0)</x:f>
        <x:v>0</x:v>
      </x:c>
      <x:c r="Y26" s="16" t="n">
        <x:f>IF(AND(N26="已计入",L26="是",L$7&lt;&gt;""),($Q26+IF(COUNTIFS($F26:L26,"是")&lt;=$R26,1,0))/100,0)</x:f>
        <x:v>0</x:v>
      </x:c>
      <x:c r="Z26" s="16" t="n">
        <x:f>IF(AND(N26="已计入",M26="是",M$7&lt;&gt;""),($Q26+IF(COUNTIFS($F26:M26,"是")&lt;=$R26,1,0))/100,0)</x:f>
        <x:v>0</x:v>
      </x:c>
    </x:row>
    <x:row r="27" ht="26" customHeight="1">
      <x:c r="A27" s="2" t="n">
        <x:v>20</x:v>
      </x:c>
      <x:c r="B27" s="14"/>
      <x:c r="C27" s="5"/>
      <x:c r="D27" s="5"/>
      <x:c r="E27" s="15"/>
      <x:c r="F27" s="12"/>
      <x:c r="G27" s="12"/>
      <x:c r="H27" s="12"/>
      <x:c r="I27" s="12"/>
      <x:c r="J27" s="12"/>
      <x:c r="K27" s="12"/>
      <x:c r="L27" s="12"/>
      <x:c r="M27" s="12"/>
      <x:c r="N27" s="13" t="str">
        <x:f>IF(COUNTA(B27:M27)=0,"",IF('成员设置'!$B$18&lt;2,"先设置至少2位成员",IF(COUNTIFS('成员设置'!$C$9:$C$16,"可用")&lt;&gt;'成员设置'!$B$18,"先修正成员昵称",IF(C27="","填写费用项目",IF(D27="","选择付款人",IF(COUNTIFS('成员设置'!$B$9:$B$16,D27)&lt;&gt;1,"付款人不在成员中",IF(ISBLANK(E27),"填写金额",IF(NOT(ISNUMBER(E27)),"金额须为数字",IF(E27&lt;0,"金额不能小于0",IF(E27&lt;&gt;ROUND(E27,2),"金额最多两位小数",IF(COUNTIFS(F27:M27,"是")&lt;&gt;O27,"未设成员列不能选是",IF(COUNTA(F27:M27)&lt;&gt;COUNTIFS(F27:M27,"是")+COUNTIFS(F27:M27,"否"),"参与列只填是或否",IF(AND(E27&gt;0,O27=0),"至少1位参与者","已计入")))))))))))))</x:f>
      </x:c>
      <x:c r="O27" s="17" t="n">
        <x:f>SUMPRODUCT((F27:M27="是")*(F$7:M$7&lt;&gt;""))</x:f>
        <x:v>0</x:v>
      </x:c>
      <x:c r="P27" s="17" t="n">
        <x:f>IF(N27="已计入",ROUND(E27*100,0),0)</x:f>
        <x:v>0</x:v>
      </x:c>
      <x:c r="Q27" s="17" t="n">
        <x:f>IF(O27=0,0,INT(P27/O27))</x:f>
        <x:v>0</x:v>
      </x:c>
      <x:c r="R27" s="17" t="n">
        <x:f>IF(O27=0,0,MOD(P27,O27))</x:f>
        <x:v>0</x:v>
      </x:c>
      <x:c r="S27" s="16" t="n">
        <x:f>IF(AND(N27="已计入",F27="是",F$7&lt;&gt;""),($Q27+IF(COUNTIFS($F27:F27,"是")&lt;=$R27,1,0))/100,0)</x:f>
        <x:v>0</x:v>
      </x:c>
      <x:c r="T27" s="16" t="n">
        <x:f>IF(AND(N27="已计入",G27="是",G$7&lt;&gt;""),($Q27+IF(COUNTIFS($F27:G27,"是")&lt;=$R27,1,0))/100,0)</x:f>
        <x:v>0</x:v>
      </x:c>
      <x:c r="U27" s="16" t="n">
        <x:f>IF(AND(N27="已计入",H27="是",H$7&lt;&gt;""),($Q27+IF(COUNTIFS($F27:H27,"是")&lt;=$R27,1,0))/100,0)</x:f>
        <x:v>0</x:v>
      </x:c>
      <x:c r="V27" s="16" t="n">
        <x:f>IF(AND(N27="已计入",I27="是",I$7&lt;&gt;""),($Q27+IF(COUNTIFS($F27:I27,"是")&lt;=$R27,1,0))/100,0)</x:f>
        <x:v>0</x:v>
      </x:c>
      <x:c r="W27" s="16" t="n">
        <x:f>IF(AND(N27="已计入",J27="是",J$7&lt;&gt;""),($Q27+IF(COUNTIFS($F27:J27,"是")&lt;=$R27,1,0))/100,0)</x:f>
        <x:v>0</x:v>
      </x:c>
      <x:c r="X27" s="16" t="n">
        <x:f>IF(AND(N27="已计入",K27="是",K$7&lt;&gt;""),($Q27+IF(COUNTIFS($F27:K27,"是")&lt;=$R27,1,0))/100,0)</x:f>
        <x:v>0</x:v>
      </x:c>
      <x:c r="Y27" s="16" t="n">
        <x:f>IF(AND(N27="已计入",L27="是",L$7&lt;&gt;""),($Q27+IF(COUNTIFS($F27:L27,"是")&lt;=$R27,1,0))/100,0)</x:f>
        <x:v>0</x:v>
      </x:c>
      <x:c r="Z27" s="16" t="n">
        <x:f>IF(AND(N27="已计入",M27="是",M$7&lt;&gt;""),($Q27+IF(COUNTIFS($F27:M27,"是")&lt;=$R27,1,0))/100,0)</x:f>
        <x:v>0</x:v>
      </x:c>
    </x:row>
    <x:row r="28" ht="26" customHeight="1">
      <x:c r="A28" s="2" t="n">
        <x:v>21</x:v>
      </x:c>
      <x:c r="B28" s="14"/>
      <x:c r="C28" s="5"/>
      <x:c r="D28" s="5"/>
      <x:c r="E28" s="15"/>
      <x:c r="F28" s="12"/>
      <x:c r="G28" s="12"/>
      <x:c r="H28" s="12"/>
      <x:c r="I28" s="12"/>
      <x:c r="J28" s="12"/>
      <x:c r="K28" s="12"/>
      <x:c r="L28" s="12"/>
      <x:c r="M28" s="12"/>
      <x:c r="N28" s="13" t="str">
        <x:f>IF(COUNTA(B28:M28)=0,"",IF('成员设置'!$B$18&lt;2,"先设置至少2位成员",IF(COUNTIFS('成员设置'!$C$9:$C$16,"可用")&lt;&gt;'成员设置'!$B$18,"先修正成员昵称",IF(C28="","填写费用项目",IF(D28="","选择付款人",IF(COUNTIFS('成员设置'!$B$9:$B$16,D28)&lt;&gt;1,"付款人不在成员中",IF(ISBLANK(E28),"填写金额",IF(NOT(ISNUMBER(E28)),"金额须为数字",IF(E28&lt;0,"金额不能小于0",IF(E28&lt;&gt;ROUND(E28,2),"金额最多两位小数",IF(COUNTIFS(F28:M28,"是")&lt;&gt;O28,"未设成员列不能选是",IF(COUNTA(F28:M28)&lt;&gt;COUNTIFS(F28:M28,"是")+COUNTIFS(F28:M28,"否"),"参与列只填是或否",IF(AND(E28&gt;0,O28=0),"至少1位参与者","已计入")))))))))))))</x:f>
      </x:c>
      <x:c r="O28" s="17" t="n">
        <x:f>SUMPRODUCT((F28:M28="是")*(F$7:M$7&lt;&gt;""))</x:f>
        <x:v>0</x:v>
      </x:c>
      <x:c r="P28" s="17" t="n">
        <x:f>IF(N28="已计入",ROUND(E28*100,0),0)</x:f>
        <x:v>0</x:v>
      </x:c>
      <x:c r="Q28" s="17" t="n">
        <x:f>IF(O28=0,0,INT(P28/O28))</x:f>
        <x:v>0</x:v>
      </x:c>
      <x:c r="R28" s="17" t="n">
        <x:f>IF(O28=0,0,MOD(P28,O28))</x:f>
        <x:v>0</x:v>
      </x:c>
      <x:c r="S28" s="16" t="n">
        <x:f>IF(AND(N28="已计入",F28="是",F$7&lt;&gt;""),($Q28+IF(COUNTIFS($F28:F28,"是")&lt;=$R28,1,0))/100,0)</x:f>
        <x:v>0</x:v>
      </x:c>
      <x:c r="T28" s="16" t="n">
        <x:f>IF(AND(N28="已计入",G28="是",G$7&lt;&gt;""),($Q28+IF(COUNTIFS($F28:G28,"是")&lt;=$R28,1,0))/100,0)</x:f>
        <x:v>0</x:v>
      </x:c>
      <x:c r="U28" s="16" t="n">
        <x:f>IF(AND(N28="已计入",H28="是",H$7&lt;&gt;""),($Q28+IF(COUNTIFS($F28:H28,"是")&lt;=$R28,1,0))/100,0)</x:f>
        <x:v>0</x:v>
      </x:c>
      <x:c r="V28" s="16" t="n">
        <x:f>IF(AND(N28="已计入",I28="是",I$7&lt;&gt;""),($Q28+IF(COUNTIFS($F28:I28,"是")&lt;=$R28,1,0))/100,0)</x:f>
        <x:v>0</x:v>
      </x:c>
      <x:c r="W28" s="16" t="n">
        <x:f>IF(AND(N28="已计入",J28="是",J$7&lt;&gt;""),($Q28+IF(COUNTIFS($F28:J28,"是")&lt;=$R28,1,0))/100,0)</x:f>
        <x:v>0</x:v>
      </x:c>
      <x:c r="X28" s="16" t="n">
        <x:f>IF(AND(N28="已计入",K28="是",K$7&lt;&gt;""),($Q28+IF(COUNTIFS($F28:K28,"是")&lt;=$R28,1,0))/100,0)</x:f>
        <x:v>0</x:v>
      </x:c>
      <x:c r="Y28" s="16" t="n">
        <x:f>IF(AND(N28="已计入",L28="是",L$7&lt;&gt;""),($Q28+IF(COUNTIFS($F28:L28,"是")&lt;=$R28,1,0))/100,0)</x:f>
        <x:v>0</x:v>
      </x:c>
      <x:c r="Z28" s="16" t="n">
        <x:f>IF(AND(N28="已计入",M28="是",M$7&lt;&gt;""),($Q28+IF(COUNTIFS($F28:M28,"是")&lt;=$R28,1,0))/100,0)</x:f>
        <x:v>0</x:v>
      </x:c>
    </x:row>
    <x:row r="29" ht="26" customHeight="1">
      <x:c r="A29" s="2" t="n">
        <x:v>22</x:v>
      </x:c>
      <x:c r="B29" s="14"/>
      <x:c r="C29" s="5"/>
      <x:c r="D29" s="5"/>
      <x:c r="E29" s="15"/>
      <x:c r="F29" s="12"/>
      <x:c r="G29" s="12"/>
      <x:c r="H29" s="12"/>
      <x:c r="I29" s="12"/>
      <x:c r="J29" s="12"/>
      <x:c r="K29" s="12"/>
      <x:c r="L29" s="12"/>
      <x:c r="M29" s="12"/>
      <x:c r="N29" s="13" t="str">
        <x:f>IF(COUNTA(B29:M29)=0,"",IF('成员设置'!$B$18&lt;2,"先设置至少2位成员",IF(COUNTIFS('成员设置'!$C$9:$C$16,"可用")&lt;&gt;'成员设置'!$B$18,"先修正成员昵称",IF(C29="","填写费用项目",IF(D29="","选择付款人",IF(COUNTIFS('成员设置'!$B$9:$B$16,D29)&lt;&gt;1,"付款人不在成员中",IF(ISBLANK(E29),"填写金额",IF(NOT(ISNUMBER(E29)),"金额须为数字",IF(E29&lt;0,"金额不能小于0",IF(E29&lt;&gt;ROUND(E29,2),"金额最多两位小数",IF(COUNTIFS(F29:M29,"是")&lt;&gt;O29,"未设成员列不能选是",IF(COUNTA(F29:M29)&lt;&gt;COUNTIFS(F29:M29,"是")+COUNTIFS(F29:M29,"否"),"参与列只填是或否",IF(AND(E29&gt;0,O29=0),"至少1位参与者","已计入")))))))))))))</x:f>
      </x:c>
      <x:c r="O29" s="17" t="n">
        <x:f>SUMPRODUCT((F29:M29="是")*(F$7:M$7&lt;&gt;""))</x:f>
        <x:v>0</x:v>
      </x:c>
      <x:c r="P29" s="17" t="n">
        <x:f>IF(N29="已计入",ROUND(E29*100,0),0)</x:f>
        <x:v>0</x:v>
      </x:c>
      <x:c r="Q29" s="17" t="n">
        <x:f>IF(O29=0,0,INT(P29/O29))</x:f>
        <x:v>0</x:v>
      </x:c>
      <x:c r="R29" s="17" t="n">
        <x:f>IF(O29=0,0,MOD(P29,O29))</x:f>
        <x:v>0</x:v>
      </x:c>
      <x:c r="S29" s="16" t="n">
        <x:f>IF(AND(N29="已计入",F29="是",F$7&lt;&gt;""),($Q29+IF(COUNTIFS($F29:F29,"是")&lt;=$R29,1,0))/100,0)</x:f>
        <x:v>0</x:v>
      </x:c>
      <x:c r="T29" s="16" t="n">
        <x:f>IF(AND(N29="已计入",G29="是",G$7&lt;&gt;""),($Q29+IF(COUNTIFS($F29:G29,"是")&lt;=$R29,1,0))/100,0)</x:f>
        <x:v>0</x:v>
      </x:c>
      <x:c r="U29" s="16" t="n">
        <x:f>IF(AND(N29="已计入",H29="是",H$7&lt;&gt;""),($Q29+IF(COUNTIFS($F29:H29,"是")&lt;=$R29,1,0))/100,0)</x:f>
        <x:v>0</x:v>
      </x:c>
      <x:c r="V29" s="16" t="n">
        <x:f>IF(AND(N29="已计入",I29="是",I$7&lt;&gt;""),($Q29+IF(COUNTIFS($F29:I29,"是")&lt;=$R29,1,0))/100,0)</x:f>
        <x:v>0</x:v>
      </x:c>
      <x:c r="W29" s="16" t="n">
        <x:f>IF(AND(N29="已计入",J29="是",J$7&lt;&gt;""),($Q29+IF(COUNTIFS($F29:J29,"是")&lt;=$R29,1,0))/100,0)</x:f>
        <x:v>0</x:v>
      </x:c>
      <x:c r="X29" s="16" t="n">
        <x:f>IF(AND(N29="已计入",K29="是",K$7&lt;&gt;""),($Q29+IF(COUNTIFS($F29:K29,"是")&lt;=$R29,1,0))/100,0)</x:f>
        <x:v>0</x:v>
      </x:c>
      <x:c r="Y29" s="16" t="n">
        <x:f>IF(AND(N29="已计入",L29="是",L$7&lt;&gt;""),($Q29+IF(COUNTIFS($F29:L29,"是")&lt;=$R29,1,0))/100,0)</x:f>
        <x:v>0</x:v>
      </x:c>
      <x:c r="Z29" s="16" t="n">
        <x:f>IF(AND(N29="已计入",M29="是",M$7&lt;&gt;""),($Q29+IF(COUNTIFS($F29:M29,"是")&lt;=$R29,1,0))/100,0)</x:f>
        <x:v>0</x:v>
      </x:c>
    </x:row>
    <x:row r="30" ht="26" customHeight="1">
      <x:c r="A30" s="2" t="n">
        <x:v>23</x:v>
      </x:c>
      <x:c r="B30" s="14"/>
      <x:c r="C30" s="5"/>
      <x:c r="D30" s="5"/>
      <x:c r="E30" s="15"/>
      <x:c r="F30" s="12"/>
      <x:c r="G30" s="12"/>
      <x:c r="H30" s="12"/>
      <x:c r="I30" s="12"/>
      <x:c r="J30" s="12"/>
      <x:c r="K30" s="12"/>
      <x:c r="L30" s="12"/>
      <x:c r="M30" s="12"/>
      <x:c r="N30" s="13" t="str">
        <x:f>IF(COUNTA(B30:M30)=0,"",IF('成员设置'!$B$18&lt;2,"先设置至少2位成员",IF(COUNTIFS('成员设置'!$C$9:$C$16,"可用")&lt;&gt;'成员设置'!$B$18,"先修正成员昵称",IF(C30="","填写费用项目",IF(D30="","选择付款人",IF(COUNTIFS('成员设置'!$B$9:$B$16,D30)&lt;&gt;1,"付款人不在成员中",IF(ISBLANK(E30),"填写金额",IF(NOT(ISNUMBER(E30)),"金额须为数字",IF(E30&lt;0,"金额不能小于0",IF(E30&lt;&gt;ROUND(E30,2),"金额最多两位小数",IF(COUNTIFS(F30:M30,"是")&lt;&gt;O30,"未设成员列不能选是",IF(COUNTA(F30:M30)&lt;&gt;COUNTIFS(F30:M30,"是")+COUNTIFS(F30:M30,"否"),"参与列只填是或否",IF(AND(E30&gt;0,O30=0),"至少1位参与者","已计入")))))))))))))</x:f>
      </x:c>
      <x:c r="O30" s="17" t="n">
        <x:f>SUMPRODUCT((F30:M30="是")*(F$7:M$7&lt;&gt;""))</x:f>
        <x:v>0</x:v>
      </x:c>
      <x:c r="P30" s="17" t="n">
        <x:f>IF(N30="已计入",ROUND(E30*100,0),0)</x:f>
        <x:v>0</x:v>
      </x:c>
      <x:c r="Q30" s="17" t="n">
        <x:f>IF(O30=0,0,INT(P30/O30))</x:f>
        <x:v>0</x:v>
      </x:c>
      <x:c r="R30" s="17" t="n">
        <x:f>IF(O30=0,0,MOD(P30,O30))</x:f>
        <x:v>0</x:v>
      </x:c>
      <x:c r="S30" s="16" t="n">
        <x:f>IF(AND(N30="已计入",F30="是",F$7&lt;&gt;""),($Q30+IF(COUNTIFS($F30:F30,"是")&lt;=$R30,1,0))/100,0)</x:f>
        <x:v>0</x:v>
      </x:c>
      <x:c r="T30" s="16" t="n">
        <x:f>IF(AND(N30="已计入",G30="是",G$7&lt;&gt;""),($Q30+IF(COUNTIFS($F30:G30,"是")&lt;=$R30,1,0))/100,0)</x:f>
        <x:v>0</x:v>
      </x:c>
      <x:c r="U30" s="16" t="n">
        <x:f>IF(AND(N30="已计入",H30="是",H$7&lt;&gt;""),($Q30+IF(COUNTIFS($F30:H30,"是")&lt;=$R30,1,0))/100,0)</x:f>
        <x:v>0</x:v>
      </x:c>
      <x:c r="V30" s="16" t="n">
        <x:f>IF(AND(N30="已计入",I30="是",I$7&lt;&gt;""),($Q30+IF(COUNTIFS($F30:I30,"是")&lt;=$R30,1,0))/100,0)</x:f>
        <x:v>0</x:v>
      </x:c>
      <x:c r="W30" s="16" t="n">
        <x:f>IF(AND(N30="已计入",J30="是",J$7&lt;&gt;""),($Q30+IF(COUNTIFS($F30:J30,"是")&lt;=$R30,1,0))/100,0)</x:f>
        <x:v>0</x:v>
      </x:c>
      <x:c r="X30" s="16" t="n">
        <x:f>IF(AND(N30="已计入",K30="是",K$7&lt;&gt;""),($Q30+IF(COUNTIFS($F30:K30,"是")&lt;=$R30,1,0))/100,0)</x:f>
        <x:v>0</x:v>
      </x:c>
      <x:c r="Y30" s="16" t="n">
        <x:f>IF(AND(N30="已计入",L30="是",L$7&lt;&gt;""),($Q30+IF(COUNTIFS($F30:L30,"是")&lt;=$R30,1,0))/100,0)</x:f>
        <x:v>0</x:v>
      </x:c>
      <x:c r="Z30" s="16" t="n">
        <x:f>IF(AND(N30="已计入",M30="是",M$7&lt;&gt;""),($Q30+IF(COUNTIFS($F30:M30,"是")&lt;=$R30,1,0))/100,0)</x:f>
        <x:v>0</x:v>
      </x:c>
    </x:row>
    <x:row r="31" ht="26" customHeight="1">
      <x:c r="A31" s="2" t="n">
        <x:v>24</x:v>
      </x:c>
      <x:c r="B31" s="14"/>
      <x:c r="C31" s="5"/>
      <x:c r="D31" s="5"/>
      <x:c r="E31" s="15"/>
      <x:c r="F31" s="12"/>
      <x:c r="G31" s="12"/>
      <x:c r="H31" s="12"/>
      <x:c r="I31" s="12"/>
      <x:c r="J31" s="12"/>
      <x:c r="K31" s="12"/>
      <x:c r="L31" s="12"/>
      <x:c r="M31" s="12"/>
      <x:c r="N31" s="13" t="str">
        <x:f>IF(COUNTA(B31:M31)=0,"",IF('成员设置'!$B$18&lt;2,"先设置至少2位成员",IF(COUNTIFS('成员设置'!$C$9:$C$16,"可用")&lt;&gt;'成员设置'!$B$18,"先修正成员昵称",IF(C31="","填写费用项目",IF(D31="","选择付款人",IF(COUNTIFS('成员设置'!$B$9:$B$16,D31)&lt;&gt;1,"付款人不在成员中",IF(ISBLANK(E31),"填写金额",IF(NOT(ISNUMBER(E31)),"金额须为数字",IF(E31&lt;0,"金额不能小于0",IF(E31&lt;&gt;ROUND(E31,2),"金额最多两位小数",IF(COUNTIFS(F31:M31,"是")&lt;&gt;O31,"未设成员列不能选是",IF(COUNTA(F31:M31)&lt;&gt;COUNTIFS(F31:M31,"是")+COUNTIFS(F31:M31,"否"),"参与列只填是或否",IF(AND(E31&gt;0,O31=0),"至少1位参与者","已计入")))))))))))))</x:f>
      </x:c>
      <x:c r="O31" s="17" t="n">
        <x:f>SUMPRODUCT((F31:M31="是")*(F$7:M$7&lt;&gt;""))</x:f>
        <x:v>0</x:v>
      </x:c>
      <x:c r="P31" s="17" t="n">
        <x:f>IF(N31="已计入",ROUND(E31*100,0),0)</x:f>
        <x:v>0</x:v>
      </x:c>
      <x:c r="Q31" s="17" t="n">
        <x:f>IF(O31=0,0,INT(P31/O31))</x:f>
        <x:v>0</x:v>
      </x:c>
      <x:c r="R31" s="17" t="n">
        <x:f>IF(O31=0,0,MOD(P31,O31))</x:f>
        <x:v>0</x:v>
      </x:c>
      <x:c r="S31" s="16" t="n">
        <x:f>IF(AND(N31="已计入",F31="是",F$7&lt;&gt;""),($Q31+IF(COUNTIFS($F31:F31,"是")&lt;=$R31,1,0))/100,0)</x:f>
        <x:v>0</x:v>
      </x:c>
      <x:c r="T31" s="16" t="n">
        <x:f>IF(AND(N31="已计入",G31="是",G$7&lt;&gt;""),($Q31+IF(COUNTIFS($F31:G31,"是")&lt;=$R31,1,0))/100,0)</x:f>
        <x:v>0</x:v>
      </x:c>
      <x:c r="U31" s="16" t="n">
        <x:f>IF(AND(N31="已计入",H31="是",H$7&lt;&gt;""),($Q31+IF(COUNTIFS($F31:H31,"是")&lt;=$R31,1,0))/100,0)</x:f>
        <x:v>0</x:v>
      </x:c>
      <x:c r="V31" s="16" t="n">
        <x:f>IF(AND(N31="已计入",I31="是",I$7&lt;&gt;""),($Q31+IF(COUNTIFS($F31:I31,"是")&lt;=$R31,1,0))/100,0)</x:f>
        <x:v>0</x:v>
      </x:c>
      <x:c r="W31" s="16" t="n">
        <x:f>IF(AND(N31="已计入",J31="是",J$7&lt;&gt;""),($Q31+IF(COUNTIFS($F31:J31,"是")&lt;=$R31,1,0))/100,0)</x:f>
        <x:v>0</x:v>
      </x:c>
      <x:c r="X31" s="16" t="n">
        <x:f>IF(AND(N31="已计入",K31="是",K$7&lt;&gt;""),($Q31+IF(COUNTIFS($F31:K31,"是")&lt;=$R31,1,0))/100,0)</x:f>
        <x:v>0</x:v>
      </x:c>
      <x:c r="Y31" s="16" t="n">
        <x:f>IF(AND(N31="已计入",L31="是",L$7&lt;&gt;""),($Q31+IF(COUNTIFS($F31:L31,"是")&lt;=$R31,1,0))/100,0)</x:f>
        <x:v>0</x:v>
      </x:c>
      <x:c r="Z31" s="16" t="n">
        <x:f>IF(AND(N31="已计入",M31="是",M$7&lt;&gt;""),($Q31+IF(COUNTIFS($F31:M31,"是")&lt;=$R31,1,0))/100,0)</x:f>
        <x:v>0</x:v>
      </x:c>
    </x:row>
    <x:row r="32" ht="26" customHeight="1">
      <x:c r="A32" s="2" t="n">
        <x:v>25</x:v>
      </x:c>
      <x:c r="B32" s="14"/>
      <x:c r="C32" s="5"/>
      <x:c r="D32" s="5"/>
      <x:c r="E32" s="15"/>
      <x:c r="F32" s="12"/>
      <x:c r="G32" s="12"/>
      <x:c r="H32" s="12"/>
      <x:c r="I32" s="12"/>
      <x:c r="J32" s="12"/>
      <x:c r="K32" s="12"/>
      <x:c r="L32" s="12"/>
      <x:c r="M32" s="12"/>
      <x:c r="N32" s="13" t="str">
        <x:f>IF(COUNTA(B32:M32)=0,"",IF('成员设置'!$B$18&lt;2,"先设置至少2位成员",IF(COUNTIFS('成员设置'!$C$9:$C$16,"可用")&lt;&gt;'成员设置'!$B$18,"先修正成员昵称",IF(C32="","填写费用项目",IF(D32="","选择付款人",IF(COUNTIFS('成员设置'!$B$9:$B$16,D32)&lt;&gt;1,"付款人不在成员中",IF(ISBLANK(E32),"填写金额",IF(NOT(ISNUMBER(E32)),"金额须为数字",IF(E32&lt;0,"金额不能小于0",IF(E32&lt;&gt;ROUND(E32,2),"金额最多两位小数",IF(COUNTIFS(F32:M32,"是")&lt;&gt;O32,"未设成员列不能选是",IF(COUNTA(F32:M32)&lt;&gt;COUNTIFS(F32:M32,"是")+COUNTIFS(F32:M32,"否"),"参与列只填是或否",IF(AND(E32&gt;0,O32=0),"至少1位参与者","已计入")))))))))))))</x:f>
      </x:c>
      <x:c r="O32" s="17" t="n">
        <x:f>SUMPRODUCT((F32:M32="是")*(F$7:M$7&lt;&gt;""))</x:f>
        <x:v>0</x:v>
      </x:c>
      <x:c r="P32" s="17" t="n">
        <x:f>IF(N32="已计入",ROUND(E32*100,0),0)</x:f>
        <x:v>0</x:v>
      </x:c>
      <x:c r="Q32" s="17" t="n">
        <x:f>IF(O32=0,0,INT(P32/O32))</x:f>
        <x:v>0</x:v>
      </x:c>
      <x:c r="R32" s="17" t="n">
        <x:f>IF(O32=0,0,MOD(P32,O32))</x:f>
        <x:v>0</x:v>
      </x:c>
      <x:c r="S32" s="16" t="n">
        <x:f>IF(AND(N32="已计入",F32="是",F$7&lt;&gt;""),($Q32+IF(COUNTIFS($F32:F32,"是")&lt;=$R32,1,0))/100,0)</x:f>
        <x:v>0</x:v>
      </x:c>
      <x:c r="T32" s="16" t="n">
        <x:f>IF(AND(N32="已计入",G32="是",G$7&lt;&gt;""),($Q32+IF(COUNTIFS($F32:G32,"是")&lt;=$R32,1,0))/100,0)</x:f>
        <x:v>0</x:v>
      </x:c>
      <x:c r="U32" s="16" t="n">
        <x:f>IF(AND(N32="已计入",H32="是",H$7&lt;&gt;""),($Q32+IF(COUNTIFS($F32:H32,"是")&lt;=$R32,1,0))/100,0)</x:f>
        <x:v>0</x:v>
      </x:c>
      <x:c r="V32" s="16" t="n">
        <x:f>IF(AND(N32="已计入",I32="是",I$7&lt;&gt;""),($Q32+IF(COUNTIFS($F32:I32,"是")&lt;=$R32,1,0))/100,0)</x:f>
        <x:v>0</x:v>
      </x:c>
      <x:c r="W32" s="16" t="n">
        <x:f>IF(AND(N32="已计入",J32="是",J$7&lt;&gt;""),($Q32+IF(COUNTIFS($F32:J32,"是")&lt;=$R32,1,0))/100,0)</x:f>
        <x:v>0</x:v>
      </x:c>
      <x:c r="X32" s="16" t="n">
        <x:f>IF(AND(N32="已计入",K32="是",K$7&lt;&gt;""),($Q32+IF(COUNTIFS($F32:K32,"是")&lt;=$R32,1,0))/100,0)</x:f>
        <x:v>0</x:v>
      </x:c>
      <x:c r="Y32" s="16" t="n">
        <x:f>IF(AND(N32="已计入",L32="是",L$7&lt;&gt;""),($Q32+IF(COUNTIFS($F32:L32,"是")&lt;=$R32,1,0))/100,0)</x:f>
        <x:v>0</x:v>
      </x:c>
      <x:c r="Z32" s="16" t="n">
        <x:f>IF(AND(N32="已计入",M32="是",M$7&lt;&gt;""),($Q32+IF(COUNTIFS($F32:M32,"是")&lt;=$R32,1,0))/100,0)</x:f>
        <x:v>0</x:v>
      </x:c>
    </x:row>
    <x:row r="33" ht="26" customHeight="1">
      <x:c r="A33" s="2" t="n">
        <x:v>26</x:v>
      </x:c>
      <x:c r="B33" s="14"/>
      <x:c r="C33" s="5"/>
      <x:c r="D33" s="5"/>
      <x:c r="E33" s="15"/>
      <x:c r="F33" s="12"/>
      <x:c r="G33" s="12"/>
      <x:c r="H33" s="12"/>
      <x:c r="I33" s="12"/>
      <x:c r="J33" s="12"/>
      <x:c r="K33" s="12"/>
      <x:c r="L33" s="12"/>
      <x:c r="M33" s="12"/>
      <x:c r="N33" s="13" t="str">
        <x:f>IF(COUNTA(B33:M33)=0,"",IF('成员设置'!$B$18&lt;2,"先设置至少2位成员",IF(COUNTIFS('成员设置'!$C$9:$C$16,"可用")&lt;&gt;'成员设置'!$B$18,"先修正成员昵称",IF(C33="","填写费用项目",IF(D33="","选择付款人",IF(COUNTIFS('成员设置'!$B$9:$B$16,D33)&lt;&gt;1,"付款人不在成员中",IF(ISBLANK(E33),"填写金额",IF(NOT(ISNUMBER(E33)),"金额须为数字",IF(E33&lt;0,"金额不能小于0",IF(E33&lt;&gt;ROUND(E33,2),"金额最多两位小数",IF(COUNTIFS(F33:M33,"是")&lt;&gt;O33,"未设成员列不能选是",IF(COUNTA(F33:M33)&lt;&gt;COUNTIFS(F33:M33,"是")+COUNTIFS(F33:M33,"否"),"参与列只填是或否",IF(AND(E33&gt;0,O33=0),"至少1位参与者","已计入")))))))))))))</x:f>
      </x:c>
      <x:c r="O33" s="17" t="n">
        <x:f>SUMPRODUCT((F33:M33="是")*(F$7:M$7&lt;&gt;""))</x:f>
        <x:v>0</x:v>
      </x:c>
      <x:c r="P33" s="17" t="n">
        <x:f>IF(N33="已计入",ROUND(E33*100,0),0)</x:f>
        <x:v>0</x:v>
      </x:c>
      <x:c r="Q33" s="17" t="n">
        <x:f>IF(O33=0,0,INT(P33/O33))</x:f>
        <x:v>0</x:v>
      </x:c>
      <x:c r="R33" s="17" t="n">
        <x:f>IF(O33=0,0,MOD(P33,O33))</x:f>
        <x:v>0</x:v>
      </x:c>
      <x:c r="S33" s="16" t="n">
        <x:f>IF(AND(N33="已计入",F33="是",F$7&lt;&gt;""),($Q33+IF(COUNTIFS($F33:F33,"是")&lt;=$R33,1,0))/100,0)</x:f>
        <x:v>0</x:v>
      </x:c>
      <x:c r="T33" s="16" t="n">
        <x:f>IF(AND(N33="已计入",G33="是",G$7&lt;&gt;""),($Q33+IF(COUNTIFS($F33:G33,"是")&lt;=$R33,1,0))/100,0)</x:f>
        <x:v>0</x:v>
      </x:c>
      <x:c r="U33" s="16" t="n">
        <x:f>IF(AND(N33="已计入",H33="是",H$7&lt;&gt;""),($Q33+IF(COUNTIFS($F33:H33,"是")&lt;=$R33,1,0))/100,0)</x:f>
        <x:v>0</x:v>
      </x:c>
      <x:c r="V33" s="16" t="n">
        <x:f>IF(AND(N33="已计入",I33="是",I$7&lt;&gt;""),($Q33+IF(COUNTIFS($F33:I33,"是")&lt;=$R33,1,0))/100,0)</x:f>
        <x:v>0</x:v>
      </x:c>
      <x:c r="W33" s="16" t="n">
        <x:f>IF(AND(N33="已计入",J33="是",J$7&lt;&gt;""),($Q33+IF(COUNTIFS($F33:J33,"是")&lt;=$R33,1,0))/100,0)</x:f>
        <x:v>0</x:v>
      </x:c>
      <x:c r="X33" s="16" t="n">
        <x:f>IF(AND(N33="已计入",K33="是",K$7&lt;&gt;""),($Q33+IF(COUNTIFS($F33:K33,"是")&lt;=$R33,1,0))/100,0)</x:f>
        <x:v>0</x:v>
      </x:c>
      <x:c r="Y33" s="16" t="n">
        <x:f>IF(AND(N33="已计入",L33="是",L$7&lt;&gt;""),($Q33+IF(COUNTIFS($F33:L33,"是")&lt;=$R33,1,0))/100,0)</x:f>
        <x:v>0</x:v>
      </x:c>
      <x:c r="Z33" s="16" t="n">
        <x:f>IF(AND(N33="已计入",M33="是",M$7&lt;&gt;""),($Q33+IF(COUNTIFS($F33:M33,"是")&lt;=$R33,1,0))/100,0)</x:f>
        <x:v>0</x:v>
      </x:c>
    </x:row>
    <x:row r="34" ht="26" customHeight="1">
      <x:c r="A34" s="2" t="n">
        <x:v>27</x:v>
      </x:c>
      <x:c r="B34" s="14"/>
      <x:c r="C34" s="5"/>
      <x:c r="D34" s="5"/>
      <x:c r="E34" s="15"/>
      <x:c r="F34" s="12"/>
      <x:c r="G34" s="12"/>
      <x:c r="H34" s="12"/>
      <x:c r="I34" s="12"/>
      <x:c r="J34" s="12"/>
      <x:c r="K34" s="12"/>
      <x:c r="L34" s="12"/>
      <x:c r="M34" s="12"/>
      <x:c r="N34" s="13" t="str">
        <x:f>IF(COUNTA(B34:M34)=0,"",IF('成员设置'!$B$18&lt;2,"先设置至少2位成员",IF(COUNTIFS('成员设置'!$C$9:$C$16,"可用")&lt;&gt;'成员设置'!$B$18,"先修正成员昵称",IF(C34="","填写费用项目",IF(D34="","选择付款人",IF(COUNTIFS('成员设置'!$B$9:$B$16,D34)&lt;&gt;1,"付款人不在成员中",IF(ISBLANK(E34),"填写金额",IF(NOT(ISNUMBER(E34)),"金额须为数字",IF(E34&lt;0,"金额不能小于0",IF(E34&lt;&gt;ROUND(E34,2),"金额最多两位小数",IF(COUNTIFS(F34:M34,"是")&lt;&gt;O34,"未设成员列不能选是",IF(COUNTA(F34:M34)&lt;&gt;COUNTIFS(F34:M34,"是")+COUNTIFS(F34:M34,"否"),"参与列只填是或否",IF(AND(E34&gt;0,O34=0),"至少1位参与者","已计入")))))))))))))</x:f>
      </x:c>
      <x:c r="O34" s="17" t="n">
        <x:f>SUMPRODUCT((F34:M34="是")*(F$7:M$7&lt;&gt;""))</x:f>
        <x:v>0</x:v>
      </x:c>
      <x:c r="P34" s="17" t="n">
        <x:f>IF(N34="已计入",ROUND(E34*100,0),0)</x:f>
        <x:v>0</x:v>
      </x:c>
      <x:c r="Q34" s="17" t="n">
        <x:f>IF(O34=0,0,INT(P34/O34))</x:f>
        <x:v>0</x:v>
      </x:c>
      <x:c r="R34" s="17" t="n">
        <x:f>IF(O34=0,0,MOD(P34,O34))</x:f>
        <x:v>0</x:v>
      </x:c>
      <x:c r="S34" s="16" t="n">
        <x:f>IF(AND(N34="已计入",F34="是",F$7&lt;&gt;""),($Q34+IF(COUNTIFS($F34:F34,"是")&lt;=$R34,1,0))/100,0)</x:f>
        <x:v>0</x:v>
      </x:c>
      <x:c r="T34" s="16" t="n">
        <x:f>IF(AND(N34="已计入",G34="是",G$7&lt;&gt;""),($Q34+IF(COUNTIFS($F34:G34,"是")&lt;=$R34,1,0))/100,0)</x:f>
        <x:v>0</x:v>
      </x:c>
      <x:c r="U34" s="16" t="n">
        <x:f>IF(AND(N34="已计入",H34="是",H$7&lt;&gt;""),($Q34+IF(COUNTIFS($F34:H34,"是")&lt;=$R34,1,0))/100,0)</x:f>
        <x:v>0</x:v>
      </x:c>
      <x:c r="V34" s="16" t="n">
        <x:f>IF(AND(N34="已计入",I34="是",I$7&lt;&gt;""),($Q34+IF(COUNTIFS($F34:I34,"是")&lt;=$R34,1,0))/100,0)</x:f>
        <x:v>0</x:v>
      </x:c>
      <x:c r="W34" s="16" t="n">
        <x:f>IF(AND(N34="已计入",J34="是",J$7&lt;&gt;""),($Q34+IF(COUNTIFS($F34:J34,"是")&lt;=$R34,1,0))/100,0)</x:f>
        <x:v>0</x:v>
      </x:c>
      <x:c r="X34" s="16" t="n">
        <x:f>IF(AND(N34="已计入",K34="是",K$7&lt;&gt;""),($Q34+IF(COUNTIFS($F34:K34,"是")&lt;=$R34,1,0))/100,0)</x:f>
        <x:v>0</x:v>
      </x:c>
      <x:c r="Y34" s="16" t="n">
        <x:f>IF(AND(N34="已计入",L34="是",L$7&lt;&gt;""),($Q34+IF(COUNTIFS($F34:L34,"是")&lt;=$R34,1,0))/100,0)</x:f>
        <x:v>0</x:v>
      </x:c>
      <x:c r="Z34" s="16" t="n">
        <x:f>IF(AND(N34="已计入",M34="是",M$7&lt;&gt;""),($Q34+IF(COUNTIFS($F34:M34,"是")&lt;=$R34,1,0))/100,0)</x:f>
        <x:v>0</x:v>
      </x:c>
    </x:row>
    <x:row r="35" ht="26" customHeight="1">
      <x:c r="A35" s="2" t="n">
        <x:v>28</x:v>
      </x:c>
      <x:c r="B35" s="14"/>
      <x:c r="C35" s="5"/>
      <x:c r="D35" s="5"/>
      <x:c r="E35" s="15"/>
      <x:c r="F35" s="12"/>
      <x:c r="G35" s="12"/>
      <x:c r="H35" s="12"/>
      <x:c r="I35" s="12"/>
      <x:c r="J35" s="12"/>
      <x:c r="K35" s="12"/>
      <x:c r="L35" s="12"/>
      <x:c r="M35" s="12"/>
      <x:c r="N35" s="13" t="str">
        <x:f>IF(COUNTA(B35:M35)=0,"",IF('成员设置'!$B$18&lt;2,"先设置至少2位成员",IF(COUNTIFS('成员设置'!$C$9:$C$16,"可用")&lt;&gt;'成员设置'!$B$18,"先修正成员昵称",IF(C35="","填写费用项目",IF(D35="","选择付款人",IF(COUNTIFS('成员设置'!$B$9:$B$16,D35)&lt;&gt;1,"付款人不在成员中",IF(ISBLANK(E35),"填写金额",IF(NOT(ISNUMBER(E35)),"金额须为数字",IF(E35&lt;0,"金额不能小于0",IF(E35&lt;&gt;ROUND(E35,2),"金额最多两位小数",IF(COUNTIFS(F35:M35,"是")&lt;&gt;O35,"未设成员列不能选是",IF(COUNTA(F35:M35)&lt;&gt;COUNTIFS(F35:M35,"是")+COUNTIFS(F35:M35,"否"),"参与列只填是或否",IF(AND(E35&gt;0,O35=0),"至少1位参与者","已计入")))))))))))))</x:f>
      </x:c>
      <x:c r="O35" s="17" t="n">
        <x:f>SUMPRODUCT((F35:M35="是")*(F$7:M$7&lt;&gt;""))</x:f>
        <x:v>0</x:v>
      </x:c>
      <x:c r="P35" s="17" t="n">
        <x:f>IF(N35="已计入",ROUND(E35*100,0),0)</x:f>
        <x:v>0</x:v>
      </x:c>
      <x:c r="Q35" s="17" t="n">
        <x:f>IF(O35=0,0,INT(P35/O35))</x:f>
        <x:v>0</x:v>
      </x:c>
      <x:c r="R35" s="17" t="n">
        <x:f>IF(O35=0,0,MOD(P35,O35))</x:f>
        <x:v>0</x:v>
      </x:c>
      <x:c r="S35" s="16" t="n">
        <x:f>IF(AND(N35="已计入",F35="是",F$7&lt;&gt;""),($Q35+IF(COUNTIFS($F35:F35,"是")&lt;=$R35,1,0))/100,0)</x:f>
        <x:v>0</x:v>
      </x:c>
      <x:c r="T35" s="16" t="n">
        <x:f>IF(AND(N35="已计入",G35="是",G$7&lt;&gt;""),($Q35+IF(COUNTIFS($F35:G35,"是")&lt;=$R35,1,0))/100,0)</x:f>
        <x:v>0</x:v>
      </x:c>
      <x:c r="U35" s="16" t="n">
        <x:f>IF(AND(N35="已计入",H35="是",H$7&lt;&gt;""),($Q35+IF(COUNTIFS($F35:H35,"是")&lt;=$R35,1,0))/100,0)</x:f>
        <x:v>0</x:v>
      </x:c>
      <x:c r="V35" s="16" t="n">
        <x:f>IF(AND(N35="已计入",I35="是",I$7&lt;&gt;""),($Q35+IF(COUNTIFS($F35:I35,"是")&lt;=$R35,1,0))/100,0)</x:f>
        <x:v>0</x:v>
      </x:c>
      <x:c r="W35" s="16" t="n">
        <x:f>IF(AND(N35="已计入",J35="是",J$7&lt;&gt;""),($Q35+IF(COUNTIFS($F35:J35,"是")&lt;=$R35,1,0))/100,0)</x:f>
        <x:v>0</x:v>
      </x:c>
      <x:c r="X35" s="16" t="n">
        <x:f>IF(AND(N35="已计入",K35="是",K$7&lt;&gt;""),($Q35+IF(COUNTIFS($F35:K35,"是")&lt;=$R35,1,0))/100,0)</x:f>
        <x:v>0</x:v>
      </x:c>
      <x:c r="Y35" s="16" t="n">
        <x:f>IF(AND(N35="已计入",L35="是",L$7&lt;&gt;""),($Q35+IF(COUNTIFS($F35:L35,"是")&lt;=$R35,1,0))/100,0)</x:f>
        <x:v>0</x:v>
      </x:c>
      <x:c r="Z35" s="16" t="n">
        <x:f>IF(AND(N35="已计入",M35="是",M$7&lt;&gt;""),($Q35+IF(COUNTIFS($F35:M35,"是")&lt;=$R35,1,0))/100,0)</x:f>
        <x:v>0</x:v>
      </x:c>
    </x:row>
    <x:row r="36" ht="26" customHeight="1">
      <x:c r="A36" s="2" t="n">
        <x:v>29</x:v>
      </x:c>
      <x:c r="B36" s="14"/>
      <x:c r="C36" s="5"/>
      <x:c r="D36" s="5"/>
      <x:c r="E36" s="15"/>
      <x:c r="F36" s="12"/>
      <x:c r="G36" s="12"/>
      <x:c r="H36" s="12"/>
      <x:c r="I36" s="12"/>
      <x:c r="J36" s="12"/>
      <x:c r="K36" s="12"/>
      <x:c r="L36" s="12"/>
      <x:c r="M36" s="12"/>
      <x:c r="N36" s="13" t="str">
        <x:f>IF(COUNTA(B36:M36)=0,"",IF('成员设置'!$B$18&lt;2,"先设置至少2位成员",IF(COUNTIFS('成员设置'!$C$9:$C$16,"可用")&lt;&gt;'成员设置'!$B$18,"先修正成员昵称",IF(C36="","填写费用项目",IF(D36="","选择付款人",IF(COUNTIFS('成员设置'!$B$9:$B$16,D36)&lt;&gt;1,"付款人不在成员中",IF(ISBLANK(E36),"填写金额",IF(NOT(ISNUMBER(E36)),"金额须为数字",IF(E36&lt;0,"金额不能小于0",IF(E36&lt;&gt;ROUND(E36,2),"金额最多两位小数",IF(COUNTIFS(F36:M36,"是")&lt;&gt;O36,"未设成员列不能选是",IF(COUNTA(F36:M36)&lt;&gt;COUNTIFS(F36:M36,"是")+COUNTIFS(F36:M36,"否"),"参与列只填是或否",IF(AND(E36&gt;0,O36=0),"至少1位参与者","已计入")))))))))))))</x:f>
      </x:c>
      <x:c r="O36" s="17" t="n">
        <x:f>SUMPRODUCT((F36:M36="是")*(F$7:M$7&lt;&gt;""))</x:f>
        <x:v>0</x:v>
      </x:c>
      <x:c r="P36" s="17" t="n">
        <x:f>IF(N36="已计入",ROUND(E36*100,0),0)</x:f>
        <x:v>0</x:v>
      </x:c>
      <x:c r="Q36" s="17" t="n">
        <x:f>IF(O36=0,0,INT(P36/O36))</x:f>
        <x:v>0</x:v>
      </x:c>
      <x:c r="R36" s="17" t="n">
        <x:f>IF(O36=0,0,MOD(P36,O36))</x:f>
        <x:v>0</x:v>
      </x:c>
      <x:c r="S36" s="16" t="n">
        <x:f>IF(AND(N36="已计入",F36="是",F$7&lt;&gt;""),($Q36+IF(COUNTIFS($F36:F36,"是")&lt;=$R36,1,0))/100,0)</x:f>
        <x:v>0</x:v>
      </x:c>
      <x:c r="T36" s="16" t="n">
        <x:f>IF(AND(N36="已计入",G36="是",G$7&lt;&gt;""),($Q36+IF(COUNTIFS($F36:G36,"是")&lt;=$R36,1,0))/100,0)</x:f>
        <x:v>0</x:v>
      </x:c>
      <x:c r="U36" s="16" t="n">
        <x:f>IF(AND(N36="已计入",H36="是",H$7&lt;&gt;""),($Q36+IF(COUNTIFS($F36:H36,"是")&lt;=$R36,1,0))/100,0)</x:f>
        <x:v>0</x:v>
      </x:c>
      <x:c r="V36" s="16" t="n">
        <x:f>IF(AND(N36="已计入",I36="是",I$7&lt;&gt;""),($Q36+IF(COUNTIFS($F36:I36,"是")&lt;=$R36,1,0))/100,0)</x:f>
        <x:v>0</x:v>
      </x:c>
      <x:c r="W36" s="16" t="n">
        <x:f>IF(AND(N36="已计入",J36="是",J$7&lt;&gt;""),($Q36+IF(COUNTIFS($F36:J36,"是")&lt;=$R36,1,0))/100,0)</x:f>
        <x:v>0</x:v>
      </x:c>
      <x:c r="X36" s="16" t="n">
        <x:f>IF(AND(N36="已计入",K36="是",K$7&lt;&gt;""),($Q36+IF(COUNTIFS($F36:K36,"是")&lt;=$R36,1,0))/100,0)</x:f>
        <x:v>0</x:v>
      </x:c>
      <x:c r="Y36" s="16" t="n">
        <x:f>IF(AND(N36="已计入",L36="是",L$7&lt;&gt;""),($Q36+IF(COUNTIFS($F36:L36,"是")&lt;=$R36,1,0))/100,0)</x:f>
        <x:v>0</x:v>
      </x:c>
      <x:c r="Z36" s="16" t="n">
        <x:f>IF(AND(N36="已计入",M36="是",M$7&lt;&gt;""),($Q36+IF(COUNTIFS($F36:M36,"是")&lt;=$R36,1,0))/100,0)</x:f>
        <x:v>0</x:v>
      </x:c>
    </x:row>
    <x:row r="37" ht="26" customHeight="1">
      <x:c r="A37" s="2" t="n">
        <x:v>30</x:v>
      </x:c>
      <x:c r="B37" s="14"/>
      <x:c r="C37" s="5"/>
      <x:c r="D37" s="5"/>
      <x:c r="E37" s="15"/>
      <x:c r="F37" s="12"/>
      <x:c r="G37" s="12"/>
      <x:c r="H37" s="12"/>
      <x:c r="I37" s="12"/>
      <x:c r="J37" s="12"/>
      <x:c r="K37" s="12"/>
      <x:c r="L37" s="12"/>
      <x:c r="M37" s="12"/>
      <x:c r="N37" s="13" t="str">
        <x:f>IF(COUNTA(B37:M37)=0,"",IF('成员设置'!$B$18&lt;2,"先设置至少2位成员",IF(COUNTIFS('成员设置'!$C$9:$C$16,"可用")&lt;&gt;'成员设置'!$B$18,"先修正成员昵称",IF(C37="","填写费用项目",IF(D37="","选择付款人",IF(COUNTIFS('成员设置'!$B$9:$B$16,D37)&lt;&gt;1,"付款人不在成员中",IF(ISBLANK(E37),"填写金额",IF(NOT(ISNUMBER(E37)),"金额须为数字",IF(E37&lt;0,"金额不能小于0",IF(E37&lt;&gt;ROUND(E37,2),"金额最多两位小数",IF(COUNTIFS(F37:M37,"是")&lt;&gt;O37,"未设成员列不能选是",IF(COUNTA(F37:M37)&lt;&gt;COUNTIFS(F37:M37,"是")+COUNTIFS(F37:M37,"否"),"参与列只填是或否",IF(AND(E37&gt;0,O37=0),"至少1位参与者","已计入")))))))))))))</x:f>
      </x:c>
      <x:c r="O37" s="17" t="n">
        <x:f>SUMPRODUCT((F37:M37="是")*(F$7:M$7&lt;&gt;""))</x:f>
        <x:v>0</x:v>
      </x:c>
      <x:c r="P37" s="17" t="n">
        <x:f>IF(N37="已计入",ROUND(E37*100,0),0)</x:f>
        <x:v>0</x:v>
      </x:c>
      <x:c r="Q37" s="17" t="n">
        <x:f>IF(O37=0,0,INT(P37/O37))</x:f>
        <x:v>0</x:v>
      </x:c>
      <x:c r="R37" s="17" t="n">
        <x:f>IF(O37=0,0,MOD(P37,O37))</x:f>
        <x:v>0</x:v>
      </x:c>
      <x:c r="S37" s="16" t="n">
        <x:f>IF(AND(N37="已计入",F37="是",F$7&lt;&gt;""),($Q37+IF(COUNTIFS($F37:F37,"是")&lt;=$R37,1,0))/100,0)</x:f>
        <x:v>0</x:v>
      </x:c>
      <x:c r="T37" s="16" t="n">
        <x:f>IF(AND(N37="已计入",G37="是",G$7&lt;&gt;""),($Q37+IF(COUNTIFS($F37:G37,"是")&lt;=$R37,1,0))/100,0)</x:f>
        <x:v>0</x:v>
      </x:c>
      <x:c r="U37" s="16" t="n">
        <x:f>IF(AND(N37="已计入",H37="是",H$7&lt;&gt;""),($Q37+IF(COUNTIFS($F37:H37,"是")&lt;=$R37,1,0))/100,0)</x:f>
        <x:v>0</x:v>
      </x:c>
      <x:c r="V37" s="16" t="n">
        <x:f>IF(AND(N37="已计入",I37="是",I$7&lt;&gt;""),($Q37+IF(COUNTIFS($F37:I37,"是")&lt;=$R37,1,0))/100,0)</x:f>
        <x:v>0</x:v>
      </x:c>
      <x:c r="W37" s="16" t="n">
        <x:f>IF(AND(N37="已计入",J37="是",J$7&lt;&gt;""),($Q37+IF(COUNTIFS($F37:J37,"是")&lt;=$R37,1,0))/100,0)</x:f>
        <x:v>0</x:v>
      </x:c>
      <x:c r="X37" s="16" t="n">
        <x:f>IF(AND(N37="已计入",K37="是",K$7&lt;&gt;""),($Q37+IF(COUNTIFS($F37:K37,"是")&lt;=$R37,1,0))/100,0)</x:f>
        <x:v>0</x:v>
      </x:c>
      <x:c r="Y37" s="16" t="n">
        <x:f>IF(AND(N37="已计入",L37="是",L$7&lt;&gt;""),($Q37+IF(COUNTIFS($F37:L37,"是")&lt;=$R37,1,0))/100,0)</x:f>
        <x:v>0</x:v>
      </x:c>
      <x:c r="Z37" s="16" t="n">
        <x:f>IF(AND(N37="已计入",M37="是",M$7&lt;&gt;""),($Q37+IF(COUNTIFS($F37:M37,"是")&lt;=$R37,1,0))/100,0)</x:f>
        <x:v>0</x:v>
      </x:c>
    </x:row>
    <x:row r="38" ht="26" customHeight="1">
      <x:c r="A38" s="2" t="n">
        <x:v>31</x:v>
      </x:c>
      <x:c r="B38" s="14"/>
      <x:c r="C38" s="5"/>
      <x:c r="D38" s="5"/>
      <x:c r="E38" s="15"/>
      <x:c r="F38" s="12"/>
      <x:c r="G38" s="12"/>
      <x:c r="H38" s="12"/>
      <x:c r="I38" s="12"/>
      <x:c r="J38" s="12"/>
      <x:c r="K38" s="12"/>
      <x:c r="L38" s="12"/>
      <x:c r="M38" s="12"/>
      <x:c r="N38" s="13" t="str">
        <x:f>IF(COUNTA(B38:M38)=0,"",IF('成员设置'!$B$18&lt;2,"先设置至少2位成员",IF(COUNTIFS('成员设置'!$C$9:$C$16,"可用")&lt;&gt;'成员设置'!$B$18,"先修正成员昵称",IF(C38="","填写费用项目",IF(D38="","选择付款人",IF(COUNTIFS('成员设置'!$B$9:$B$16,D38)&lt;&gt;1,"付款人不在成员中",IF(ISBLANK(E38),"填写金额",IF(NOT(ISNUMBER(E38)),"金额须为数字",IF(E38&lt;0,"金额不能小于0",IF(E38&lt;&gt;ROUND(E38,2),"金额最多两位小数",IF(COUNTIFS(F38:M38,"是")&lt;&gt;O38,"未设成员列不能选是",IF(COUNTA(F38:M38)&lt;&gt;COUNTIFS(F38:M38,"是")+COUNTIFS(F38:M38,"否"),"参与列只填是或否",IF(AND(E38&gt;0,O38=0),"至少1位参与者","已计入")))))))))))))</x:f>
      </x:c>
      <x:c r="O38" s="17" t="n">
        <x:f>SUMPRODUCT((F38:M38="是")*(F$7:M$7&lt;&gt;""))</x:f>
        <x:v>0</x:v>
      </x:c>
      <x:c r="P38" s="17" t="n">
        <x:f>IF(N38="已计入",ROUND(E38*100,0),0)</x:f>
        <x:v>0</x:v>
      </x:c>
      <x:c r="Q38" s="17" t="n">
        <x:f>IF(O38=0,0,INT(P38/O38))</x:f>
        <x:v>0</x:v>
      </x:c>
      <x:c r="R38" s="17" t="n">
        <x:f>IF(O38=0,0,MOD(P38,O38))</x:f>
        <x:v>0</x:v>
      </x:c>
      <x:c r="S38" s="16" t="n">
        <x:f>IF(AND(N38="已计入",F38="是",F$7&lt;&gt;""),($Q38+IF(COUNTIFS($F38:F38,"是")&lt;=$R38,1,0))/100,0)</x:f>
        <x:v>0</x:v>
      </x:c>
      <x:c r="T38" s="16" t="n">
        <x:f>IF(AND(N38="已计入",G38="是",G$7&lt;&gt;""),($Q38+IF(COUNTIFS($F38:G38,"是")&lt;=$R38,1,0))/100,0)</x:f>
        <x:v>0</x:v>
      </x:c>
      <x:c r="U38" s="16" t="n">
        <x:f>IF(AND(N38="已计入",H38="是",H$7&lt;&gt;""),($Q38+IF(COUNTIFS($F38:H38,"是")&lt;=$R38,1,0))/100,0)</x:f>
        <x:v>0</x:v>
      </x:c>
      <x:c r="V38" s="16" t="n">
        <x:f>IF(AND(N38="已计入",I38="是",I$7&lt;&gt;""),($Q38+IF(COUNTIFS($F38:I38,"是")&lt;=$R38,1,0))/100,0)</x:f>
        <x:v>0</x:v>
      </x:c>
      <x:c r="W38" s="16" t="n">
        <x:f>IF(AND(N38="已计入",J38="是",J$7&lt;&gt;""),($Q38+IF(COUNTIFS($F38:J38,"是")&lt;=$R38,1,0))/100,0)</x:f>
        <x:v>0</x:v>
      </x:c>
      <x:c r="X38" s="16" t="n">
        <x:f>IF(AND(N38="已计入",K38="是",K$7&lt;&gt;""),($Q38+IF(COUNTIFS($F38:K38,"是")&lt;=$R38,1,0))/100,0)</x:f>
        <x:v>0</x:v>
      </x:c>
      <x:c r="Y38" s="16" t="n">
        <x:f>IF(AND(N38="已计入",L38="是",L$7&lt;&gt;""),($Q38+IF(COUNTIFS($F38:L38,"是")&lt;=$R38,1,0))/100,0)</x:f>
        <x:v>0</x:v>
      </x:c>
      <x:c r="Z38" s="16" t="n">
        <x:f>IF(AND(N38="已计入",M38="是",M$7&lt;&gt;""),($Q38+IF(COUNTIFS($F38:M38,"是")&lt;=$R38,1,0))/100,0)</x:f>
        <x:v>0</x:v>
      </x:c>
    </x:row>
    <x:row r="39" ht="26" customHeight="1">
      <x:c r="A39" s="2" t="n">
        <x:v>32</x:v>
      </x:c>
      <x:c r="B39" s="14"/>
      <x:c r="C39" s="5"/>
      <x:c r="D39" s="5"/>
      <x:c r="E39" s="15"/>
      <x:c r="F39" s="12"/>
      <x:c r="G39" s="12"/>
      <x:c r="H39" s="12"/>
      <x:c r="I39" s="12"/>
      <x:c r="J39" s="12"/>
      <x:c r="K39" s="12"/>
      <x:c r="L39" s="12"/>
      <x:c r="M39" s="12"/>
      <x:c r="N39" s="13" t="str">
        <x:f>IF(COUNTA(B39:M39)=0,"",IF('成员设置'!$B$18&lt;2,"先设置至少2位成员",IF(COUNTIFS('成员设置'!$C$9:$C$16,"可用")&lt;&gt;'成员设置'!$B$18,"先修正成员昵称",IF(C39="","填写费用项目",IF(D39="","选择付款人",IF(COUNTIFS('成员设置'!$B$9:$B$16,D39)&lt;&gt;1,"付款人不在成员中",IF(ISBLANK(E39),"填写金额",IF(NOT(ISNUMBER(E39)),"金额须为数字",IF(E39&lt;0,"金额不能小于0",IF(E39&lt;&gt;ROUND(E39,2),"金额最多两位小数",IF(COUNTIFS(F39:M39,"是")&lt;&gt;O39,"未设成员列不能选是",IF(COUNTA(F39:M39)&lt;&gt;COUNTIFS(F39:M39,"是")+COUNTIFS(F39:M39,"否"),"参与列只填是或否",IF(AND(E39&gt;0,O39=0),"至少1位参与者","已计入")))))))))))))</x:f>
      </x:c>
      <x:c r="O39" s="17" t="n">
        <x:f>SUMPRODUCT((F39:M39="是")*(F$7:M$7&lt;&gt;""))</x:f>
        <x:v>0</x:v>
      </x:c>
      <x:c r="P39" s="17" t="n">
        <x:f>IF(N39="已计入",ROUND(E39*100,0),0)</x:f>
        <x:v>0</x:v>
      </x:c>
      <x:c r="Q39" s="17" t="n">
        <x:f>IF(O39=0,0,INT(P39/O39))</x:f>
        <x:v>0</x:v>
      </x:c>
      <x:c r="R39" s="17" t="n">
        <x:f>IF(O39=0,0,MOD(P39,O39))</x:f>
        <x:v>0</x:v>
      </x:c>
      <x:c r="S39" s="16" t="n">
        <x:f>IF(AND(N39="已计入",F39="是",F$7&lt;&gt;""),($Q39+IF(COUNTIFS($F39:F39,"是")&lt;=$R39,1,0))/100,0)</x:f>
        <x:v>0</x:v>
      </x:c>
      <x:c r="T39" s="16" t="n">
        <x:f>IF(AND(N39="已计入",G39="是",G$7&lt;&gt;""),($Q39+IF(COUNTIFS($F39:G39,"是")&lt;=$R39,1,0))/100,0)</x:f>
        <x:v>0</x:v>
      </x:c>
      <x:c r="U39" s="16" t="n">
        <x:f>IF(AND(N39="已计入",H39="是",H$7&lt;&gt;""),($Q39+IF(COUNTIFS($F39:H39,"是")&lt;=$R39,1,0))/100,0)</x:f>
        <x:v>0</x:v>
      </x:c>
      <x:c r="V39" s="16" t="n">
        <x:f>IF(AND(N39="已计入",I39="是",I$7&lt;&gt;""),($Q39+IF(COUNTIFS($F39:I39,"是")&lt;=$R39,1,0))/100,0)</x:f>
        <x:v>0</x:v>
      </x:c>
      <x:c r="W39" s="16" t="n">
        <x:f>IF(AND(N39="已计入",J39="是",J$7&lt;&gt;""),($Q39+IF(COUNTIFS($F39:J39,"是")&lt;=$R39,1,0))/100,0)</x:f>
        <x:v>0</x:v>
      </x:c>
      <x:c r="X39" s="16" t="n">
        <x:f>IF(AND(N39="已计入",K39="是",K$7&lt;&gt;""),($Q39+IF(COUNTIFS($F39:K39,"是")&lt;=$R39,1,0))/100,0)</x:f>
        <x:v>0</x:v>
      </x:c>
      <x:c r="Y39" s="16" t="n">
        <x:f>IF(AND(N39="已计入",L39="是",L$7&lt;&gt;""),($Q39+IF(COUNTIFS($F39:L39,"是")&lt;=$R39,1,0))/100,0)</x:f>
        <x:v>0</x:v>
      </x:c>
      <x:c r="Z39" s="16" t="n">
        <x:f>IF(AND(N39="已计入",M39="是",M$7&lt;&gt;""),($Q39+IF(COUNTIFS($F39:M39,"是")&lt;=$R39,1,0))/100,0)</x:f>
        <x:v>0</x:v>
      </x:c>
    </x:row>
    <x:row r="40" ht="26" customHeight="1">
      <x:c r="A40" s="2" t="n">
        <x:v>33</x:v>
      </x:c>
      <x:c r="B40" s="14"/>
      <x:c r="C40" s="5"/>
      <x:c r="D40" s="5"/>
      <x:c r="E40" s="15"/>
      <x:c r="F40" s="12"/>
      <x:c r="G40" s="12"/>
      <x:c r="H40" s="12"/>
      <x:c r="I40" s="12"/>
      <x:c r="J40" s="12"/>
      <x:c r="K40" s="12"/>
      <x:c r="L40" s="12"/>
      <x:c r="M40" s="12"/>
      <x:c r="N40" s="13" t="str">
        <x:f>IF(COUNTA(B40:M40)=0,"",IF('成员设置'!$B$18&lt;2,"先设置至少2位成员",IF(COUNTIFS('成员设置'!$C$9:$C$16,"可用")&lt;&gt;'成员设置'!$B$18,"先修正成员昵称",IF(C40="","填写费用项目",IF(D40="","选择付款人",IF(COUNTIFS('成员设置'!$B$9:$B$16,D40)&lt;&gt;1,"付款人不在成员中",IF(ISBLANK(E40),"填写金额",IF(NOT(ISNUMBER(E40)),"金额须为数字",IF(E40&lt;0,"金额不能小于0",IF(E40&lt;&gt;ROUND(E40,2),"金额最多两位小数",IF(COUNTIFS(F40:M40,"是")&lt;&gt;O40,"未设成员列不能选是",IF(COUNTA(F40:M40)&lt;&gt;COUNTIFS(F40:M40,"是")+COUNTIFS(F40:M40,"否"),"参与列只填是或否",IF(AND(E40&gt;0,O40=0),"至少1位参与者","已计入")))))))))))))</x:f>
      </x:c>
      <x:c r="O40" s="17" t="n">
        <x:f>SUMPRODUCT((F40:M40="是")*(F$7:M$7&lt;&gt;""))</x:f>
        <x:v>0</x:v>
      </x:c>
      <x:c r="P40" s="17" t="n">
        <x:f>IF(N40="已计入",ROUND(E40*100,0),0)</x:f>
        <x:v>0</x:v>
      </x:c>
      <x:c r="Q40" s="17" t="n">
        <x:f>IF(O40=0,0,INT(P40/O40))</x:f>
        <x:v>0</x:v>
      </x:c>
      <x:c r="R40" s="17" t="n">
        <x:f>IF(O40=0,0,MOD(P40,O40))</x:f>
        <x:v>0</x:v>
      </x:c>
      <x:c r="S40" s="16" t="n">
        <x:f>IF(AND(N40="已计入",F40="是",F$7&lt;&gt;""),($Q40+IF(COUNTIFS($F40:F40,"是")&lt;=$R40,1,0))/100,0)</x:f>
        <x:v>0</x:v>
      </x:c>
      <x:c r="T40" s="16" t="n">
        <x:f>IF(AND(N40="已计入",G40="是",G$7&lt;&gt;""),($Q40+IF(COUNTIFS($F40:G40,"是")&lt;=$R40,1,0))/100,0)</x:f>
        <x:v>0</x:v>
      </x:c>
      <x:c r="U40" s="16" t="n">
        <x:f>IF(AND(N40="已计入",H40="是",H$7&lt;&gt;""),($Q40+IF(COUNTIFS($F40:H40,"是")&lt;=$R40,1,0))/100,0)</x:f>
        <x:v>0</x:v>
      </x:c>
      <x:c r="V40" s="16" t="n">
        <x:f>IF(AND(N40="已计入",I40="是",I$7&lt;&gt;""),($Q40+IF(COUNTIFS($F40:I40,"是")&lt;=$R40,1,0))/100,0)</x:f>
        <x:v>0</x:v>
      </x:c>
      <x:c r="W40" s="16" t="n">
        <x:f>IF(AND(N40="已计入",J40="是",J$7&lt;&gt;""),($Q40+IF(COUNTIFS($F40:J40,"是")&lt;=$R40,1,0))/100,0)</x:f>
        <x:v>0</x:v>
      </x:c>
      <x:c r="X40" s="16" t="n">
        <x:f>IF(AND(N40="已计入",K40="是",K$7&lt;&gt;""),($Q40+IF(COUNTIFS($F40:K40,"是")&lt;=$R40,1,0))/100,0)</x:f>
        <x:v>0</x:v>
      </x:c>
      <x:c r="Y40" s="16" t="n">
        <x:f>IF(AND(N40="已计入",L40="是",L$7&lt;&gt;""),($Q40+IF(COUNTIFS($F40:L40,"是")&lt;=$R40,1,0))/100,0)</x:f>
        <x:v>0</x:v>
      </x:c>
      <x:c r="Z40" s="16" t="n">
        <x:f>IF(AND(N40="已计入",M40="是",M$7&lt;&gt;""),($Q40+IF(COUNTIFS($F40:M40,"是")&lt;=$R40,1,0))/100,0)</x:f>
        <x:v>0</x:v>
      </x:c>
    </x:row>
    <x:row r="41" ht="26" customHeight="1">
      <x:c r="A41" s="2" t="n">
        <x:v>34</x:v>
      </x:c>
      <x:c r="B41" s="14"/>
      <x:c r="C41" s="5"/>
      <x:c r="D41" s="5"/>
      <x:c r="E41" s="15"/>
      <x:c r="F41" s="12"/>
      <x:c r="G41" s="12"/>
      <x:c r="H41" s="12"/>
      <x:c r="I41" s="12"/>
      <x:c r="J41" s="12"/>
      <x:c r="K41" s="12"/>
      <x:c r="L41" s="12"/>
      <x:c r="M41" s="12"/>
      <x:c r="N41" s="13" t="str">
        <x:f>IF(COUNTA(B41:M41)=0,"",IF('成员设置'!$B$18&lt;2,"先设置至少2位成员",IF(COUNTIFS('成员设置'!$C$9:$C$16,"可用")&lt;&gt;'成员设置'!$B$18,"先修正成员昵称",IF(C41="","填写费用项目",IF(D41="","选择付款人",IF(COUNTIFS('成员设置'!$B$9:$B$16,D41)&lt;&gt;1,"付款人不在成员中",IF(ISBLANK(E41),"填写金额",IF(NOT(ISNUMBER(E41)),"金额须为数字",IF(E41&lt;0,"金额不能小于0",IF(E41&lt;&gt;ROUND(E41,2),"金额最多两位小数",IF(COUNTIFS(F41:M41,"是")&lt;&gt;O41,"未设成员列不能选是",IF(COUNTA(F41:M41)&lt;&gt;COUNTIFS(F41:M41,"是")+COUNTIFS(F41:M41,"否"),"参与列只填是或否",IF(AND(E41&gt;0,O41=0),"至少1位参与者","已计入")))))))))))))</x:f>
      </x:c>
      <x:c r="O41" s="17" t="n">
        <x:f>SUMPRODUCT((F41:M41="是")*(F$7:M$7&lt;&gt;""))</x:f>
        <x:v>0</x:v>
      </x:c>
      <x:c r="P41" s="17" t="n">
        <x:f>IF(N41="已计入",ROUND(E41*100,0),0)</x:f>
        <x:v>0</x:v>
      </x:c>
      <x:c r="Q41" s="17" t="n">
        <x:f>IF(O41=0,0,INT(P41/O41))</x:f>
        <x:v>0</x:v>
      </x:c>
      <x:c r="R41" s="17" t="n">
        <x:f>IF(O41=0,0,MOD(P41,O41))</x:f>
        <x:v>0</x:v>
      </x:c>
      <x:c r="S41" s="16" t="n">
        <x:f>IF(AND(N41="已计入",F41="是",F$7&lt;&gt;""),($Q41+IF(COUNTIFS($F41:F41,"是")&lt;=$R41,1,0))/100,0)</x:f>
        <x:v>0</x:v>
      </x:c>
      <x:c r="T41" s="16" t="n">
        <x:f>IF(AND(N41="已计入",G41="是",G$7&lt;&gt;""),($Q41+IF(COUNTIFS($F41:G41,"是")&lt;=$R41,1,0))/100,0)</x:f>
        <x:v>0</x:v>
      </x:c>
      <x:c r="U41" s="16" t="n">
        <x:f>IF(AND(N41="已计入",H41="是",H$7&lt;&gt;""),($Q41+IF(COUNTIFS($F41:H41,"是")&lt;=$R41,1,0))/100,0)</x:f>
        <x:v>0</x:v>
      </x:c>
      <x:c r="V41" s="16" t="n">
        <x:f>IF(AND(N41="已计入",I41="是",I$7&lt;&gt;""),($Q41+IF(COUNTIFS($F41:I41,"是")&lt;=$R41,1,0))/100,0)</x:f>
        <x:v>0</x:v>
      </x:c>
      <x:c r="W41" s="16" t="n">
        <x:f>IF(AND(N41="已计入",J41="是",J$7&lt;&gt;""),($Q41+IF(COUNTIFS($F41:J41,"是")&lt;=$R41,1,0))/100,0)</x:f>
        <x:v>0</x:v>
      </x:c>
      <x:c r="X41" s="16" t="n">
        <x:f>IF(AND(N41="已计入",K41="是",K$7&lt;&gt;""),($Q41+IF(COUNTIFS($F41:K41,"是")&lt;=$R41,1,0))/100,0)</x:f>
        <x:v>0</x:v>
      </x:c>
      <x:c r="Y41" s="16" t="n">
        <x:f>IF(AND(N41="已计入",L41="是",L$7&lt;&gt;""),($Q41+IF(COUNTIFS($F41:L41,"是")&lt;=$R41,1,0))/100,0)</x:f>
        <x:v>0</x:v>
      </x:c>
      <x:c r="Z41" s="16" t="n">
        <x:f>IF(AND(N41="已计入",M41="是",M$7&lt;&gt;""),($Q41+IF(COUNTIFS($F41:M41,"是")&lt;=$R41,1,0))/100,0)</x:f>
        <x:v>0</x:v>
      </x:c>
    </x:row>
    <x:row r="42" ht="26" customHeight="1">
      <x:c r="A42" s="2" t="n">
        <x:v>35</x:v>
      </x:c>
      <x:c r="B42" s="14"/>
      <x:c r="C42" s="5"/>
      <x:c r="D42" s="5"/>
      <x:c r="E42" s="15"/>
      <x:c r="F42" s="12"/>
      <x:c r="G42" s="12"/>
      <x:c r="H42" s="12"/>
      <x:c r="I42" s="12"/>
      <x:c r="J42" s="12"/>
      <x:c r="K42" s="12"/>
      <x:c r="L42" s="12"/>
      <x:c r="M42" s="12"/>
      <x:c r="N42" s="13" t="str">
        <x:f>IF(COUNTA(B42:M42)=0,"",IF('成员设置'!$B$18&lt;2,"先设置至少2位成员",IF(COUNTIFS('成员设置'!$C$9:$C$16,"可用")&lt;&gt;'成员设置'!$B$18,"先修正成员昵称",IF(C42="","填写费用项目",IF(D42="","选择付款人",IF(COUNTIFS('成员设置'!$B$9:$B$16,D42)&lt;&gt;1,"付款人不在成员中",IF(ISBLANK(E42),"填写金额",IF(NOT(ISNUMBER(E42)),"金额须为数字",IF(E42&lt;0,"金额不能小于0",IF(E42&lt;&gt;ROUND(E42,2),"金额最多两位小数",IF(COUNTIFS(F42:M42,"是")&lt;&gt;O42,"未设成员列不能选是",IF(COUNTA(F42:M42)&lt;&gt;COUNTIFS(F42:M42,"是")+COUNTIFS(F42:M42,"否"),"参与列只填是或否",IF(AND(E42&gt;0,O42=0),"至少1位参与者","已计入")))))))))))))</x:f>
      </x:c>
      <x:c r="O42" s="17" t="n">
        <x:f>SUMPRODUCT((F42:M42="是")*(F$7:M$7&lt;&gt;""))</x:f>
        <x:v>0</x:v>
      </x:c>
      <x:c r="P42" s="17" t="n">
        <x:f>IF(N42="已计入",ROUND(E42*100,0),0)</x:f>
        <x:v>0</x:v>
      </x:c>
      <x:c r="Q42" s="17" t="n">
        <x:f>IF(O42=0,0,INT(P42/O42))</x:f>
        <x:v>0</x:v>
      </x:c>
      <x:c r="R42" s="17" t="n">
        <x:f>IF(O42=0,0,MOD(P42,O42))</x:f>
        <x:v>0</x:v>
      </x:c>
      <x:c r="S42" s="16" t="n">
        <x:f>IF(AND(N42="已计入",F42="是",F$7&lt;&gt;""),($Q42+IF(COUNTIFS($F42:F42,"是")&lt;=$R42,1,0))/100,0)</x:f>
        <x:v>0</x:v>
      </x:c>
      <x:c r="T42" s="16" t="n">
        <x:f>IF(AND(N42="已计入",G42="是",G$7&lt;&gt;""),($Q42+IF(COUNTIFS($F42:G42,"是")&lt;=$R42,1,0))/100,0)</x:f>
        <x:v>0</x:v>
      </x:c>
      <x:c r="U42" s="16" t="n">
        <x:f>IF(AND(N42="已计入",H42="是",H$7&lt;&gt;""),($Q42+IF(COUNTIFS($F42:H42,"是")&lt;=$R42,1,0))/100,0)</x:f>
        <x:v>0</x:v>
      </x:c>
      <x:c r="V42" s="16" t="n">
        <x:f>IF(AND(N42="已计入",I42="是",I$7&lt;&gt;""),($Q42+IF(COUNTIFS($F42:I42,"是")&lt;=$R42,1,0))/100,0)</x:f>
        <x:v>0</x:v>
      </x:c>
      <x:c r="W42" s="16" t="n">
        <x:f>IF(AND(N42="已计入",J42="是",J$7&lt;&gt;""),($Q42+IF(COUNTIFS($F42:J42,"是")&lt;=$R42,1,0))/100,0)</x:f>
        <x:v>0</x:v>
      </x:c>
      <x:c r="X42" s="16" t="n">
        <x:f>IF(AND(N42="已计入",K42="是",K$7&lt;&gt;""),($Q42+IF(COUNTIFS($F42:K42,"是")&lt;=$R42,1,0))/100,0)</x:f>
        <x:v>0</x:v>
      </x:c>
      <x:c r="Y42" s="16" t="n">
        <x:f>IF(AND(N42="已计入",L42="是",L$7&lt;&gt;""),($Q42+IF(COUNTIFS($F42:L42,"是")&lt;=$R42,1,0))/100,0)</x:f>
        <x:v>0</x:v>
      </x:c>
      <x:c r="Z42" s="16" t="n">
        <x:f>IF(AND(N42="已计入",M42="是",M$7&lt;&gt;""),($Q42+IF(COUNTIFS($F42:M42,"是")&lt;=$R42,1,0))/100,0)</x:f>
        <x:v>0</x:v>
      </x:c>
    </x:row>
    <x:row r="43" ht="26" customHeight="1">
      <x:c r="A43" s="2" t="n">
        <x:v>36</x:v>
      </x:c>
      <x:c r="B43" s="14"/>
      <x:c r="C43" s="5"/>
      <x:c r="D43" s="5"/>
      <x:c r="E43" s="15"/>
      <x:c r="F43" s="12"/>
      <x:c r="G43" s="12"/>
      <x:c r="H43" s="12"/>
      <x:c r="I43" s="12"/>
      <x:c r="J43" s="12"/>
      <x:c r="K43" s="12"/>
      <x:c r="L43" s="12"/>
      <x:c r="M43" s="12"/>
      <x:c r="N43" s="13" t="str">
        <x:f>IF(COUNTA(B43:M43)=0,"",IF('成员设置'!$B$18&lt;2,"先设置至少2位成员",IF(COUNTIFS('成员设置'!$C$9:$C$16,"可用")&lt;&gt;'成员设置'!$B$18,"先修正成员昵称",IF(C43="","填写费用项目",IF(D43="","选择付款人",IF(COUNTIFS('成员设置'!$B$9:$B$16,D43)&lt;&gt;1,"付款人不在成员中",IF(ISBLANK(E43),"填写金额",IF(NOT(ISNUMBER(E43)),"金额须为数字",IF(E43&lt;0,"金额不能小于0",IF(E43&lt;&gt;ROUND(E43,2),"金额最多两位小数",IF(COUNTIFS(F43:M43,"是")&lt;&gt;O43,"未设成员列不能选是",IF(COUNTA(F43:M43)&lt;&gt;COUNTIFS(F43:M43,"是")+COUNTIFS(F43:M43,"否"),"参与列只填是或否",IF(AND(E43&gt;0,O43=0),"至少1位参与者","已计入")))))))))))))</x:f>
      </x:c>
      <x:c r="O43" s="17" t="n">
        <x:f>SUMPRODUCT((F43:M43="是")*(F$7:M$7&lt;&gt;""))</x:f>
        <x:v>0</x:v>
      </x:c>
      <x:c r="P43" s="17" t="n">
        <x:f>IF(N43="已计入",ROUND(E43*100,0),0)</x:f>
        <x:v>0</x:v>
      </x:c>
      <x:c r="Q43" s="17" t="n">
        <x:f>IF(O43=0,0,INT(P43/O43))</x:f>
        <x:v>0</x:v>
      </x:c>
      <x:c r="R43" s="17" t="n">
        <x:f>IF(O43=0,0,MOD(P43,O43))</x:f>
        <x:v>0</x:v>
      </x:c>
      <x:c r="S43" s="16" t="n">
        <x:f>IF(AND(N43="已计入",F43="是",F$7&lt;&gt;""),($Q43+IF(COUNTIFS($F43:F43,"是")&lt;=$R43,1,0))/100,0)</x:f>
        <x:v>0</x:v>
      </x:c>
      <x:c r="T43" s="16" t="n">
        <x:f>IF(AND(N43="已计入",G43="是",G$7&lt;&gt;""),($Q43+IF(COUNTIFS($F43:G43,"是")&lt;=$R43,1,0))/100,0)</x:f>
        <x:v>0</x:v>
      </x:c>
      <x:c r="U43" s="16" t="n">
        <x:f>IF(AND(N43="已计入",H43="是",H$7&lt;&gt;""),($Q43+IF(COUNTIFS($F43:H43,"是")&lt;=$R43,1,0))/100,0)</x:f>
        <x:v>0</x:v>
      </x:c>
      <x:c r="V43" s="16" t="n">
        <x:f>IF(AND(N43="已计入",I43="是",I$7&lt;&gt;""),($Q43+IF(COUNTIFS($F43:I43,"是")&lt;=$R43,1,0))/100,0)</x:f>
        <x:v>0</x:v>
      </x:c>
      <x:c r="W43" s="16" t="n">
        <x:f>IF(AND(N43="已计入",J43="是",J$7&lt;&gt;""),($Q43+IF(COUNTIFS($F43:J43,"是")&lt;=$R43,1,0))/100,0)</x:f>
        <x:v>0</x:v>
      </x:c>
      <x:c r="X43" s="16" t="n">
        <x:f>IF(AND(N43="已计入",K43="是",K$7&lt;&gt;""),($Q43+IF(COUNTIFS($F43:K43,"是")&lt;=$R43,1,0))/100,0)</x:f>
        <x:v>0</x:v>
      </x:c>
      <x:c r="Y43" s="16" t="n">
        <x:f>IF(AND(N43="已计入",L43="是",L$7&lt;&gt;""),($Q43+IF(COUNTIFS($F43:L43,"是")&lt;=$R43,1,0))/100,0)</x:f>
        <x:v>0</x:v>
      </x:c>
      <x:c r="Z43" s="16" t="n">
        <x:f>IF(AND(N43="已计入",M43="是",M$7&lt;&gt;""),($Q43+IF(COUNTIFS($F43:M43,"是")&lt;=$R43,1,0))/100,0)</x:f>
        <x:v>0</x:v>
      </x:c>
    </x:row>
    <x:row r="44" ht="26" customHeight="1">
      <x:c r="A44" s="2" t="n">
        <x:v>37</x:v>
      </x:c>
      <x:c r="B44" s="14"/>
      <x:c r="C44" s="5"/>
      <x:c r="D44" s="5"/>
      <x:c r="E44" s="15"/>
      <x:c r="F44" s="12"/>
      <x:c r="G44" s="12"/>
      <x:c r="H44" s="12"/>
      <x:c r="I44" s="12"/>
      <x:c r="J44" s="12"/>
      <x:c r="K44" s="12"/>
      <x:c r="L44" s="12"/>
      <x:c r="M44" s="12"/>
      <x:c r="N44" s="13" t="str">
        <x:f>IF(COUNTA(B44:M44)=0,"",IF('成员设置'!$B$18&lt;2,"先设置至少2位成员",IF(COUNTIFS('成员设置'!$C$9:$C$16,"可用")&lt;&gt;'成员设置'!$B$18,"先修正成员昵称",IF(C44="","填写费用项目",IF(D44="","选择付款人",IF(COUNTIFS('成员设置'!$B$9:$B$16,D44)&lt;&gt;1,"付款人不在成员中",IF(ISBLANK(E44),"填写金额",IF(NOT(ISNUMBER(E44)),"金额须为数字",IF(E44&lt;0,"金额不能小于0",IF(E44&lt;&gt;ROUND(E44,2),"金额最多两位小数",IF(COUNTIFS(F44:M44,"是")&lt;&gt;O44,"未设成员列不能选是",IF(COUNTA(F44:M44)&lt;&gt;COUNTIFS(F44:M44,"是")+COUNTIFS(F44:M44,"否"),"参与列只填是或否",IF(AND(E44&gt;0,O44=0),"至少1位参与者","已计入")))))))))))))</x:f>
      </x:c>
      <x:c r="O44" s="17" t="n">
        <x:f>SUMPRODUCT((F44:M44="是")*(F$7:M$7&lt;&gt;""))</x:f>
        <x:v>0</x:v>
      </x:c>
      <x:c r="P44" s="17" t="n">
        <x:f>IF(N44="已计入",ROUND(E44*100,0),0)</x:f>
        <x:v>0</x:v>
      </x:c>
      <x:c r="Q44" s="17" t="n">
        <x:f>IF(O44=0,0,INT(P44/O44))</x:f>
        <x:v>0</x:v>
      </x:c>
      <x:c r="R44" s="17" t="n">
        <x:f>IF(O44=0,0,MOD(P44,O44))</x:f>
        <x:v>0</x:v>
      </x:c>
      <x:c r="S44" s="16" t="n">
        <x:f>IF(AND(N44="已计入",F44="是",F$7&lt;&gt;""),($Q44+IF(COUNTIFS($F44:F44,"是")&lt;=$R44,1,0))/100,0)</x:f>
        <x:v>0</x:v>
      </x:c>
      <x:c r="T44" s="16" t="n">
        <x:f>IF(AND(N44="已计入",G44="是",G$7&lt;&gt;""),($Q44+IF(COUNTIFS($F44:G44,"是")&lt;=$R44,1,0))/100,0)</x:f>
        <x:v>0</x:v>
      </x:c>
      <x:c r="U44" s="16" t="n">
        <x:f>IF(AND(N44="已计入",H44="是",H$7&lt;&gt;""),($Q44+IF(COUNTIFS($F44:H44,"是")&lt;=$R44,1,0))/100,0)</x:f>
        <x:v>0</x:v>
      </x:c>
      <x:c r="V44" s="16" t="n">
        <x:f>IF(AND(N44="已计入",I44="是",I$7&lt;&gt;""),($Q44+IF(COUNTIFS($F44:I44,"是")&lt;=$R44,1,0))/100,0)</x:f>
        <x:v>0</x:v>
      </x:c>
      <x:c r="W44" s="16" t="n">
        <x:f>IF(AND(N44="已计入",J44="是",J$7&lt;&gt;""),($Q44+IF(COUNTIFS($F44:J44,"是")&lt;=$R44,1,0))/100,0)</x:f>
        <x:v>0</x:v>
      </x:c>
      <x:c r="X44" s="16" t="n">
        <x:f>IF(AND(N44="已计入",K44="是",K$7&lt;&gt;""),($Q44+IF(COUNTIFS($F44:K44,"是")&lt;=$R44,1,0))/100,0)</x:f>
        <x:v>0</x:v>
      </x:c>
      <x:c r="Y44" s="16" t="n">
        <x:f>IF(AND(N44="已计入",L44="是",L$7&lt;&gt;""),($Q44+IF(COUNTIFS($F44:L44,"是")&lt;=$R44,1,0))/100,0)</x:f>
        <x:v>0</x:v>
      </x:c>
      <x:c r="Z44" s="16" t="n">
        <x:f>IF(AND(N44="已计入",M44="是",M$7&lt;&gt;""),($Q44+IF(COUNTIFS($F44:M44,"是")&lt;=$R44,1,0))/100,0)</x:f>
        <x:v>0</x:v>
      </x:c>
    </x:row>
    <x:row r="45" ht="26" customHeight="1">
      <x:c r="A45" s="2" t="n">
        <x:v>38</x:v>
      </x:c>
      <x:c r="B45" s="14"/>
      <x:c r="C45" s="5"/>
      <x:c r="D45" s="5"/>
      <x:c r="E45" s="15"/>
      <x:c r="F45" s="12"/>
      <x:c r="G45" s="12"/>
      <x:c r="H45" s="12"/>
      <x:c r="I45" s="12"/>
      <x:c r="J45" s="12"/>
      <x:c r="K45" s="12"/>
      <x:c r="L45" s="12"/>
      <x:c r="M45" s="12"/>
      <x:c r="N45" s="13" t="str">
        <x:f>IF(COUNTA(B45:M45)=0,"",IF('成员设置'!$B$18&lt;2,"先设置至少2位成员",IF(COUNTIFS('成员设置'!$C$9:$C$16,"可用")&lt;&gt;'成员设置'!$B$18,"先修正成员昵称",IF(C45="","填写费用项目",IF(D45="","选择付款人",IF(COUNTIFS('成员设置'!$B$9:$B$16,D45)&lt;&gt;1,"付款人不在成员中",IF(ISBLANK(E45),"填写金额",IF(NOT(ISNUMBER(E45)),"金额须为数字",IF(E45&lt;0,"金额不能小于0",IF(E45&lt;&gt;ROUND(E45,2),"金额最多两位小数",IF(COUNTIFS(F45:M45,"是")&lt;&gt;O45,"未设成员列不能选是",IF(COUNTA(F45:M45)&lt;&gt;COUNTIFS(F45:M45,"是")+COUNTIFS(F45:M45,"否"),"参与列只填是或否",IF(AND(E45&gt;0,O45=0),"至少1位参与者","已计入")))))))))))))</x:f>
      </x:c>
      <x:c r="O45" s="17" t="n">
        <x:f>SUMPRODUCT((F45:M45="是")*(F$7:M$7&lt;&gt;""))</x:f>
        <x:v>0</x:v>
      </x:c>
      <x:c r="P45" s="17" t="n">
        <x:f>IF(N45="已计入",ROUND(E45*100,0),0)</x:f>
        <x:v>0</x:v>
      </x:c>
      <x:c r="Q45" s="17" t="n">
        <x:f>IF(O45=0,0,INT(P45/O45))</x:f>
        <x:v>0</x:v>
      </x:c>
      <x:c r="R45" s="17" t="n">
        <x:f>IF(O45=0,0,MOD(P45,O45))</x:f>
        <x:v>0</x:v>
      </x:c>
      <x:c r="S45" s="16" t="n">
        <x:f>IF(AND(N45="已计入",F45="是",F$7&lt;&gt;""),($Q45+IF(COUNTIFS($F45:F45,"是")&lt;=$R45,1,0))/100,0)</x:f>
        <x:v>0</x:v>
      </x:c>
      <x:c r="T45" s="16" t="n">
        <x:f>IF(AND(N45="已计入",G45="是",G$7&lt;&gt;""),($Q45+IF(COUNTIFS($F45:G45,"是")&lt;=$R45,1,0))/100,0)</x:f>
        <x:v>0</x:v>
      </x:c>
      <x:c r="U45" s="16" t="n">
        <x:f>IF(AND(N45="已计入",H45="是",H$7&lt;&gt;""),($Q45+IF(COUNTIFS($F45:H45,"是")&lt;=$R45,1,0))/100,0)</x:f>
        <x:v>0</x:v>
      </x:c>
      <x:c r="V45" s="16" t="n">
        <x:f>IF(AND(N45="已计入",I45="是",I$7&lt;&gt;""),($Q45+IF(COUNTIFS($F45:I45,"是")&lt;=$R45,1,0))/100,0)</x:f>
        <x:v>0</x:v>
      </x:c>
      <x:c r="W45" s="16" t="n">
        <x:f>IF(AND(N45="已计入",J45="是",J$7&lt;&gt;""),($Q45+IF(COUNTIFS($F45:J45,"是")&lt;=$R45,1,0))/100,0)</x:f>
        <x:v>0</x:v>
      </x:c>
      <x:c r="X45" s="16" t="n">
        <x:f>IF(AND(N45="已计入",K45="是",K$7&lt;&gt;""),($Q45+IF(COUNTIFS($F45:K45,"是")&lt;=$R45,1,0))/100,0)</x:f>
        <x:v>0</x:v>
      </x:c>
      <x:c r="Y45" s="16" t="n">
        <x:f>IF(AND(N45="已计入",L45="是",L$7&lt;&gt;""),($Q45+IF(COUNTIFS($F45:L45,"是")&lt;=$R45,1,0))/100,0)</x:f>
        <x:v>0</x:v>
      </x:c>
      <x:c r="Z45" s="16" t="n">
        <x:f>IF(AND(N45="已计入",M45="是",M$7&lt;&gt;""),($Q45+IF(COUNTIFS($F45:M45,"是")&lt;=$R45,1,0))/100,0)</x:f>
        <x:v>0</x:v>
      </x:c>
    </x:row>
    <x:row r="46" ht="26" customHeight="1">
      <x:c r="A46" s="2" t="n">
        <x:v>39</x:v>
      </x:c>
      <x:c r="B46" s="14"/>
      <x:c r="C46" s="5"/>
      <x:c r="D46" s="5"/>
      <x:c r="E46" s="15"/>
      <x:c r="F46" s="12"/>
      <x:c r="G46" s="12"/>
      <x:c r="H46" s="12"/>
      <x:c r="I46" s="12"/>
      <x:c r="J46" s="12"/>
      <x:c r="K46" s="12"/>
      <x:c r="L46" s="12"/>
      <x:c r="M46" s="12"/>
      <x:c r="N46" s="13" t="str">
        <x:f>IF(COUNTA(B46:M46)=0,"",IF('成员设置'!$B$18&lt;2,"先设置至少2位成员",IF(COUNTIFS('成员设置'!$C$9:$C$16,"可用")&lt;&gt;'成员设置'!$B$18,"先修正成员昵称",IF(C46="","填写费用项目",IF(D46="","选择付款人",IF(COUNTIFS('成员设置'!$B$9:$B$16,D46)&lt;&gt;1,"付款人不在成员中",IF(ISBLANK(E46),"填写金额",IF(NOT(ISNUMBER(E46)),"金额须为数字",IF(E46&lt;0,"金额不能小于0",IF(E46&lt;&gt;ROUND(E46,2),"金额最多两位小数",IF(COUNTIFS(F46:M46,"是")&lt;&gt;O46,"未设成员列不能选是",IF(COUNTA(F46:M46)&lt;&gt;COUNTIFS(F46:M46,"是")+COUNTIFS(F46:M46,"否"),"参与列只填是或否",IF(AND(E46&gt;0,O46=0),"至少1位参与者","已计入")))))))))))))</x:f>
      </x:c>
      <x:c r="O46" s="17" t="n">
        <x:f>SUMPRODUCT((F46:M46="是")*(F$7:M$7&lt;&gt;""))</x:f>
        <x:v>0</x:v>
      </x:c>
      <x:c r="P46" s="17" t="n">
        <x:f>IF(N46="已计入",ROUND(E46*100,0),0)</x:f>
        <x:v>0</x:v>
      </x:c>
      <x:c r="Q46" s="17" t="n">
        <x:f>IF(O46=0,0,INT(P46/O46))</x:f>
        <x:v>0</x:v>
      </x:c>
      <x:c r="R46" s="17" t="n">
        <x:f>IF(O46=0,0,MOD(P46,O46))</x:f>
        <x:v>0</x:v>
      </x:c>
      <x:c r="S46" s="16" t="n">
        <x:f>IF(AND(N46="已计入",F46="是",F$7&lt;&gt;""),($Q46+IF(COUNTIFS($F46:F46,"是")&lt;=$R46,1,0))/100,0)</x:f>
        <x:v>0</x:v>
      </x:c>
      <x:c r="T46" s="16" t="n">
        <x:f>IF(AND(N46="已计入",G46="是",G$7&lt;&gt;""),($Q46+IF(COUNTIFS($F46:G46,"是")&lt;=$R46,1,0))/100,0)</x:f>
        <x:v>0</x:v>
      </x:c>
      <x:c r="U46" s="16" t="n">
        <x:f>IF(AND(N46="已计入",H46="是",H$7&lt;&gt;""),($Q46+IF(COUNTIFS($F46:H46,"是")&lt;=$R46,1,0))/100,0)</x:f>
        <x:v>0</x:v>
      </x:c>
      <x:c r="V46" s="16" t="n">
        <x:f>IF(AND(N46="已计入",I46="是",I$7&lt;&gt;""),($Q46+IF(COUNTIFS($F46:I46,"是")&lt;=$R46,1,0))/100,0)</x:f>
        <x:v>0</x:v>
      </x:c>
      <x:c r="W46" s="16" t="n">
        <x:f>IF(AND(N46="已计入",J46="是",J$7&lt;&gt;""),($Q46+IF(COUNTIFS($F46:J46,"是")&lt;=$R46,1,0))/100,0)</x:f>
        <x:v>0</x:v>
      </x:c>
      <x:c r="X46" s="16" t="n">
        <x:f>IF(AND(N46="已计入",K46="是",K$7&lt;&gt;""),($Q46+IF(COUNTIFS($F46:K46,"是")&lt;=$R46,1,0))/100,0)</x:f>
        <x:v>0</x:v>
      </x:c>
      <x:c r="Y46" s="16" t="n">
        <x:f>IF(AND(N46="已计入",L46="是",L$7&lt;&gt;""),($Q46+IF(COUNTIFS($F46:L46,"是")&lt;=$R46,1,0))/100,0)</x:f>
        <x:v>0</x:v>
      </x:c>
      <x:c r="Z46" s="16" t="n">
        <x:f>IF(AND(N46="已计入",M46="是",M$7&lt;&gt;""),($Q46+IF(COUNTIFS($F46:M46,"是")&lt;=$R46,1,0))/100,0)</x:f>
        <x:v>0</x:v>
      </x:c>
    </x:row>
    <x:row r="47" ht="26" customHeight="1">
      <x:c r="A47" s="2" t="n">
        <x:v>40</x:v>
      </x:c>
      <x:c r="B47" s="14"/>
      <x:c r="C47" s="5"/>
      <x:c r="D47" s="5"/>
      <x:c r="E47" s="15"/>
      <x:c r="F47" s="12"/>
      <x:c r="G47" s="12"/>
      <x:c r="H47" s="12"/>
      <x:c r="I47" s="12"/>
      <x:c r="J47" s="12"/>
      <x:c r="K47" s="12"/>
      <x:c r="L47" s="12"/>
      <x:c r="M47" s="12"/>
      <x:c r="N47" s="13" t="str">
        <x:f>IF(COUNTA(B47:M47)=0,"",IF('成员设置'!$B$18&lt;2,"先设置至少2位成员",IF(COUNTIFS('成员设置'!$C$9:$C$16,"可用")&lt;&gt;'成员设置'!$B$18,"先修正成员昵称",IF(C47="","填写费用项目",IF(D47="","选择付款人",IF(COUNTIFS('成员设置'!$B$9:$B$16,D47)&lt;&gt;1,"付款人不在成员中",IF(ISBLANK(E47),"填写金额",IF(NOT(ISNUMBER(E47)),"金额须为数字",IF(E47&lt;0,"金额不能小于0",IF(E47&lt;&gt;ROUND(E47,2),"金额最多两位小数",IF(COUNTIFS(F47:M47,"是")&lt;&gt;O47,"未设成员列不能选是",IF(COUNTA(F47:M47)&lt;&gt;COUNTIFS(F47:M47,"是")+COUNTIFS(F47:M47,"否"),"参与列只填是或否",IF(AND(E47&gt;0,O47=0),"至少1位参与者","已计入")))))))))))))</x:f>
      </x:c>
      <x:c r="O47" s="17" t="n">
        <x:f>SUMPRODUCT((F47:M47="是")*(F$7:M$7&lt;&gt;""))</x:f>
        <x:v>0</x:v>
      </x:c>
      <x:c r="P47" s="17" t="n">
        <x:f>IF(N47="已计入",ROUND(E47*100,0),0)</x:f>
        <x:v>0</x:v>
      </x:c>
      <x:c r="Q47" s="17" t="n">
        <x:f>IF(O47=0,0,INT(P47/O47))</x:f>
        <x:v>0</x:v>
      </x:c>
      <x:c r="R47" s="17" t="n">
        <x:f>IF(O47=0,0,MOD(P47,O47))</x:f>
        <x:v>0</x:v>
      </x:c>
      <x:c r="S47" s="16" t="n">
        <x:f>IF(AND(N47="已计入",F47="是",F$7&lt;&gt;""),($Q47+IF(COUNTIFS($F47:F47,"是")&lt;=$R47,1,0))/100,0)</x:f>
        <x:v>0</x:v>
      </x:c>
      <x:c r="T47" s="16" t="n">
        <x:f>IF(AND(N47="已计入",G47="是",G$7&lt;&gt;""),($Q47+IF(COUNTIFS($F47:G47,"是")&lt;=$R47,1,0))/100,0)</x:f>
        <x:v>0</x:v>
      </x:c>
      <x:c r="U47" s="16" t="n">
        <x:f>IF(AND(N47="已计入",H47="是",H$7&lt;&gt;""),($Q47+IF(COUNTIFS($F47:H47,"是")&lt;=$R47,1,0))/100,0)</x:f>
        <x:v>0</x:v>
      </x:c>
      <x:c r="V47" s="16" t="n">
        <x:f>IF(AND(N47="已计入",I47="是",I$7&lt;&gt;""),($Q47+IF(COUNTIFS($F47:I47,"是")&lt;=$R47,1,0))/100,0)</x:f>
        <x:v>0</x:v>
      </x:c>
      <x:c r="W47" s="16" t="n">
        <x:f>IF(AND(N47="已计入",J47="是",J$7&lt;&gt;""),($Q47+IF(COUNTIFS($F47:J47,"是")&lt;=$R47,1,0))/100,0)</x:f>
        <x:v>0</x:v>
      </x:c>
      <x:c r="X47" s="16" t="n">
        <x:f>IF(AND(N47="已计入",K47="是",K$7&lt;&gt;""),($Q47+IF(COUNTIFS($F47:K47,"是")&lt;=$R47,1,0))/100,0)</x:f>
        <x:v>0</x:v>
      </x:c>
      <x:c r="Y47" s="16" t="n">
        <x:f>IF(AND(N47="已计入",L47="是",L$7&lt;&gt;""),($Q47+IF(COUNTIFS($F47:L47,"是")&lt;=$R47,1,0))/100,0)</x:f>
        <x:v>0</x:v>
      </x:c>
      <x:c r="Z47" s="16" t="n">
        <x:f>IF(AND(N47="已计入",M47="是",M$7&lt;&gt;""),($Q47+IF(COUNTIFS($F47:M47,"是")&lt;=$R47,1,0))/100,0)</x:f>
        <x:v>0</x:v>
      </x:c>
    </x:row>
    <x:row r="48" ht="26" customHeight="1">
      <x:c r="A48" s="2" t="n">
        <x:v>41</x:v>
      </x:c>
      <x:c r="B48" s="14"/>
      <x:c r="C48" s="5"/>
      <x:c r="D48" s="5"/>
      <x:c r="E48" s="15"/>
      <x:c r="F48" s="12"/>
      <x:c r="G48" s="12"/>
      <x:c r="H48" s="12"/>
      <x:c r="I48" s="12"/>
      <x:c r="J48" s="12"/>
      <x:c r="K48" s="12"/>
      <x:c r="L48" s="12"/>
      <x:c r="M48" s="12"/>
      <x:c r="N48" s="13" t="str">
        <x:f>IF(COUNTA(B48:M48)=0,"",IF('成员设置'!$B$18&lt;2,"先设置至少2位成员",IF(COUNTIFS('成员设置'!$C$9:$C$16,"可用")&lt;&gt;'成员设置'!$B$18,"先修正成员昵称",IF(C48="","填写费用项目",IF(D48="","选择付款人",IF(COUNTIFS('成员设置'!$B$9:$B$16,D48)&lt;&gt;1,"付款人不在成员中",IF(ISBLANK(E48),"填写金额",IF(NOT(ISNUMBER(E48)),"金额须为数字",IF(E48&lt;0,"金额不能小于0",IF(E48&lt;&gt;ROUND(E48,2),"金额最多两位小数",IF(COUNTIFS(F48:M48,"是")&lt;&gt;O48,"未设成员列不能选是",IF(COUNTA(F48:M48)&lt;&gt;COUNTIFS(F48:M48,"是")+COUNTIFS(F48:M48,"否"),"参与列只填是或否",IF(AND(E48&gt;0,O48=0),"至少1位参与者","已计入")))))))))))))</x:f>
      </x:c>
      <x:c r="O48" s="17" t="n">
        <x:f>SUMPRODUCT((F48:M48="是")*(F$7:M$7&lt;&gt;""))</x:f>
        <x:v>0</x:v>
      </x:c>
      <x:c r="P48" s="17" t="n">
        <x:f>IF(N48="已计入",ROUND(E48*100,0),0)</x:f>
        <x:v>0</x:v>
      </x:c>
      <x:c r="Q48" s="17" t="n">
        <x:f>IF(O48=0,0,INT(P48/O48))</x:f>
        <x:v>0</x:v>
      </x:c>
      <x:c r="R48" s="17" t="n">
        <x:f>IF(O48=0,0,MOD(P48,O48))</x:f>
        <x:v>0</x:v>
      </x:c>
      <x:c r="S48" s="16" t="n">
        <x:f>IF(AND(N48="已计入",F48="是",F$7&lt;&gt;""),($Q48+IF(COUNTIFS($F48:F48,"是")&lt;=$R48,1,0))/100,0)</x:f>
        <x:v>0</x:v>
      </x:c>
      <x:c r="T48" s="16" t="n">
        <x:f>IF(AND(N48="已计入",G48="是",G$7&lt;&gt;""),($Q48+IF(COUNTIFS($F48:G48,"是")&lt;=$R48,1,0))/100,0)</x:f>
        <x:v>0</x:v>
      </x:c>
      <x:c r="U48" s="16" t="n">
        <x:f>IF(AND(N48="已计入",H48="是",H$7&lt;&gt;""),($Q48+IF(COUNTIFS($F48:H48,"是")&lt;=$R48,1,0))/100,0)</x:f>
        <x:v>0</x:v>
      </x:c>
      <x:c r="V48" s="16" t="n">
        <x:f>IF(AND(N48="已计入",I48="是",I$7&lt;&gt;""),($Q48+IF(COUNTIFS($F48:I48,"是")&lt;=$R48,1,0))/100,0)</x:f>
        <x:v>0</x:v>
      </x:c>
      <x:c r="W48" s="16" t="n">
        <x:f>IF(AND(N48="已计入",J48="是",J$7&lt;&gt;""),($Q48+IF(COUNTIFS($F48:J48,"是")&lt;=$R48,1,0))/100,0)</x:f>
        <x:v>0</x:v>
      </x:c>
      <x:c r="X48" s="16" t="n">
        <x:f>IF(AND(N48="已计入",K48="是",K$7&lt;&gt;""),($Q48+IF(COUNTIFS($F48:K48,"是")&lt;=$R48,1,0))/100,0)</x:f>
        <x:v>0</x:v>
      </x:c>
      <x:c r="Y48" s="16" t="n">
        <x:f>IF(AND(N48="已计入",L48="是",L$7&lt;&gt;""),($Q48+IF(COUNTIFS($F48:L48,"是")&lt;=$R48,1,0))/100,0)</x:f>
        <x:v>0</x:v>
      </x:c>
      <x:c r="Z48" s="16" t="n">
        <x:f>IF(AND(N48="已计入",M48="是",M$7&lt;&gt;""),($Q48+IF(COUNTIFS($F48:M48,"是")&lt;=$R48,1,0))/100,0)</x:f>
        <x:v>0</x:v>
      </x:c>
    </x:row>
    <x:row r="49" ht="26" customHeight="1">
      <x:c r="A49" s="2" t="n">
        <x:v>42</x:v>
      </x:c>
      <x:c r="B49" s="14"/>
      <x:c r="C49" s="5"/>
      <x:c r="D49" s="5"/>
      <x:c r="E49" s="15"/>
      <x:c r="F49" s="12"/>
      <x:c r="G49" s="12"/>
      <x:c r="H49" s="12"/>
      <x:c r="I49" s="12"/>
      <x:c r="J49" s="12"/>
      <x:c r="K49" s="12"/>
      <x:c r="L49" s="12"/>
      <x:c r="M49" s="12"/>
      <x:c r="N49" s="13" t="str">
        <x:f>IF(COUNTA(B49:M49)=0,"",IF('成员设置'!$B$18&lt;2,"先设置至少2位成员",IF(COUNTIFS('成员设置'!$C$9:$C$16,"可用")&lt;&gt;'成员设置'!$B$18,"先修正成员昵称",IF(C49="","填写费用项目",IF(D49="","选择付款人",IF(COUNTIFS('成员设置'!$B$9:$B$16,D49)&lt;&gt;1,"付款人不在成员中",IF(ISBLANK(E49),"填写金额",IF(NOT(ISNUMBER(E49)),"金额须为数字",IF(E49&lt;0,"金额不能小于0",IF(E49&lt;&gt;ROUND(E49,2),"金额最多两位小数",IF(COUNTIFS(F49:M49,"是")&lt;&gt;O49,"未设成员列不能选是",IF(COUNTA(F49:M49)&lt;&gt;COUNTIFS(F49:M49,"是")+COUNTIFS(F49:M49,"否"),"参与列只填是或否",IF(AND(E49&gt;0,O49=0),"至少1位参与者","已计入")))))))))))))</x:f>
      </x:c>
      <x:c r="O49" s="17" t="n">
        <x:f>SUMPRODUCT((F49:M49="是")*(F$7:M$7&lt;&gt;""))</x:f>
        <x:v>0</x:v>
      </x:c>
      <x:c r="P49" s="17" t="n">
        <x:f>IF(N49="已计入",ROUND(E49*100,0),0)</x:f>
        <x:v>0</x:v>
      </x:c>
      <x:c r="Q49" s="17" t="n">
        <x:f>IF(O49=0,0,INT(P49/O49))</x:f>
        <x:v>0</x:v>
      </x:c>
      <x:c r="R49" s="17" t="n">
        <x:f>IF(O49=0,0,MOD(P49,O49))</x:f>
        <x:v>0</x:v>
      </x:c>
      <x:c r="S49" s="16" t="n">
        <x:f>IF(AND(N49="已计入",F49="是",F$7&lt;&gt;""),($Q49+IF(COUNTIFS($F49:F49,"是")&lt;=$R49,1,0))/100,0)</x:f>
        <x:v>0</x:v>
      </x:c>
      <x:c r="T49" s="16" t="n">
        <x:f>IF(AND(N49="已计入",G49="是",G$7&lt;&gt;""),($Q49+IF(COUNTIFS($F49:G49,"是")&lt;=$R49,1,0))/100,0)</x:f>
        <x:v>0</x:v>
      </x:c>
      <x:c r="U49" s="16" t="n">
        <x:f>IF(AND(N49="已计入",H49="是",H$7&lt;&gt;""),($Q49+IF(COUNTIFS($F49:H49,"是")&lt;=$R49,1,0))/100,0)</x:f>
        <x:v>0</x:v>
      </x:c>
      <x:c r="V49" s="16" t="n">
        <x:f>IF(AND(N49="已计入",I49="是",I$7&lt;&gt;""),($Q49+IF(COUNTIFS($F49:I49,"是")&lt;=$R49,1,0))/100,0)</x:f>
        <x:v>0</x:v>
      </x:c>
      <x:c r="W49" s="16" t="n">
        <x:f>IF(AND(N49="已计入",J49="是",J$7&lt;&gt;""),($Q49+IF(COUNTIFS($F49:J49,"是")&lt;=$R49,1,0))/100,0)</x:f>
        <x:v>0</x:v>
      </x:c>
      <x:c r="X49" s="16" t="n">
        <x:f>IF(AND(N49="已计入",K49="是",K$7&lt;&gt;""),($Q49+IF(COUNTIFS($F49:K49,"是")&lt;=$R49,1,0))/100,0)</x:f>
        <x:v>0</x:v>
      </x:c>
      <x:c r="Y49" s="16" t="n">
        <x:f>IF(AND(N49="已计入",L49="是",L$7&lt;&gt;""),($Q49+IF(COUNTIFS($F49:L49,"是")&lt;=$R49,1,0))/100,0)</x:f>
        <x:v>0</x:v>
      </x:c>
      <x:c r="Z49" s="16" t="n">
        <x:f>IF(AND(N49="已计入",M49="是",M$7&lt;&gt;""),($Q49+IF(COUNTIFS($F49:M49,"是")&lt;=$R49,1,0))/100,0)</x:f>
        <x:v>0</x:v>
      </x:c>
    </x:row>
    <x:row r="50" ht="26" customHeight="1">
      <x:c r="A50" s="2" t="n">
        <x:v>43</x:v>
      </x:c>
      <x:c r="B50" s="14"/>
      <x:c r="C50" s="5"/>
      <x:c r="D50" s="5"/>
      <x:c r="E50" s="15"/>
      <x:c r="F50" s="12"/>
      <x:c r="G50" s="12"/>
      <x:c r="H50" s="12"/>
      <x:c r="I50" s="12"/>
      <x:c r="J50" s="12"/>
      <x:c r="K50" s="12"/>
      <x:c r="L50" s="12"/>
      <x:c r="M50" s="12"/>
      <x:c r="N50" s="13" t="str">
        <x:f>IF(COUNTA(B50:M50)=0,"",IF('成员设置'!$B$18&lt;2,"先设置至少2位成员",IF(COUNTIFS('成员设置'!$C$9:$C$16,"可用")&lt;&gt;'成员设置'!$B$18,"先修正成员昵称",IF(C50="","填写费用项目",IF(D50="","选择付款人",IF(COUNTIFS('成员设置'!$B$9:$B$16,D50)&lt;&gt;1,"付款人不在成员中",IF(ISBLANK(E50),"填写金额",IF(NOT(ISNUMBER(E50)),"金额须为数字",IF(E50&lt;0,"金额不能小于0",IF(E50&lt;&gt;ROUND(E50,2),"金额最多两位小数",IF(COUNTIFS(F50:M50,"是")&lt;&gt;O50,"未设成员列不能选是",IF(COUNTA(F50:M50)&lt;&gt;COUNTIFS(F50:M50,"是")+COUNTIFS(F50:M50,"否"),"参与列只填是或否",IF(AND(E50&gt;0,O50=0),"至少1位参与者","已计入")))))))))))))</x:f>
      </x:c>
      <x:c r="O50" s="17" t="n">
        <x:f>SUMPRODUCT((F50:M50="是")*(F$7:M$7&lt;&gt;""))</x:f>
        <x:v>0</x:v>
      </x:c>
      <x:c r="P50" s="17" t="n">
        <x:f>IF(N50="已计入",ROUND(E50*100,0),0)</x:f>
        <x:v>0</x:v>
      </x:c>
      <x:c r="Q50" s="17" t="n">
        <x:f>IF(O50=0,0,INT(P50/O50))</x:f>
        <x:v>0</x:v>
      </x:c>
      <x:c r="R50" s="17" t="n">
        <x:f>IF(O50=0,0,MOD(P50,O50))</x:f>
        <x:v>0</x:v>
      </x:c>
      <x:c r="S50" s="16" t="n">
        <x:f>IF(AND(N50="已计入",F50="是",F$7&lt;&gt;""),($Q50+IF(COUNTIFS($F50:F50,"是")&lt;=$R50,1,0))/100,0)</x:f>
        <x:v>0</x:v>
      </x:c>
      <x:c r="T50" s="16" t="n">
        <x:f>IF(AND(N50="已计入",G50="是",G$7&lt;&gt;""),($Q50+IF(COUNTIFS($F50:G50,"是")&lt;=$R50,1,0))/100,0)</x:f>
        <x:v>0</x:v>
      </x:c>
      <x:c r="U50" s="16" t="n">
        <x:f>IF(AND(N50="已计入",H50="是",H$7&lt;&gt;""),($Q50+IF(COUNTIFS($F50:H50,"是")&lt;=$R50,1,0))/100,0)</x:f>
        <x:v>0</x:v>
      </x:c>
      <x:c r="V50" s="16" t="n">
        <x:f>IF(AND(N50="已计入",I50="是",I$7&lt;&gt;""),($Q50+IF(COUNTIFS($F50:I50,"是")&lt;=$R50,1,0))/100,0)</x:f>
        <x:v>0</x:v>
      </x:c>
      <x:c r="W50" s="16" t="n">
        <x:f>IF(AND(N50="已计入",J50="是",J$7&lt;&gt;""),($Q50+IF(COUNTIFS($F50:J50,"是")&lt;=$R50,1,0))/100,0)</x:f>
        <x:v>0</x:v>
      </x:c>
      <x:c r="X50" s="16" t="n">
        <x:f>IF(AND(N50="已计入",K50="是",K$7&lt;&gt;""),($Q50+IF(COUNTIFS($F50:K50,"是")&lt;=$R50,1,0))/100,0)</x:f>
        <x:v>0</x:v>
      </x:c>
      <x:c r="Y50" s="16" t="n">
        <x:f>IF(AND(N50="已计入",L50="是",L$7&lt;&gt;""),($Q50+IF(COUNTIFS($F50:L50,"是")&lt;=$R50,1,0))/100,0)</x:f>
        <x:v>0</x:v>
      </x:c>
      <x:c r="Z50" s="16" t="n">
        <x:f>IF(AND(N50="已计入",M50="是",M$7&lt;&gt;""),($Q50+IF(COUNTIFS($F50:M50,"是")&lt;=$R50,1,0))/100,0)</x:f>
        <x:v>0</x:v>
      </x:c>
    </x:row>
    <x:row r="51" ht="26" customHeight="1">
      <x:c r="A51" s="2" t="n">
        <x:v>44</x:v>
      </x:c>
      <x:c r="B51" s="14"/>
      <x:c r="C51" s="5"/>
      <x:c r="D51" s="5"/>
      <x:c r="E51" s="15"/>
      <x:c r="F51" s="12"/>
      <x:c r="G51" s="12"/>
      <x:c r="H51" s="12"/>
      <x:c r="I51" s="12"/>
      <x:c r="J51" s="12"/>
      <x:c r="K51" s="12"/>
      <x:c r="L51" s="12"/>
      <x:c r="M51" s="12"/>
      <x:c r="N51" s="13" t="str">
        <x:f>IF(COUNTA(B51:M51)=0,"",IF('成员设置'!$B$18&lt;2,"先设置至少2位成员",IF(COUNTIFS('成员设置'!$C$9:$C$16,"可用")&lt;&gt;'成员设置'!$B$18,"先修正成员昵称",IF(C51="","填写费用项目",IF(D51="","选择付款人",IF(COUNTIFS('成员设置'!$B$9:$B$16,D51)&lt;&gt;1,"付款人不在成员中",IF(ISBLANK(E51),"填写金额",IF(NOT(ISNUMBER(E51)),"金额须为数字",IF(E51&lt;0,"金额不能小于0",IF(E51&lt;&gt;ROUND(E51,2),"金额最多两位小数",IF(COUNTIFS(F51:M51,"是")&lt;&gt;O51,"未设成员列不能选是",IF(COUNTA(F51:M51)&lt;&gt;COUNTIFS(F51:M51,"是")+COUNTIFS(F51:M51,"否"),"参与列只填是或否",IF(AND(E51&gt;0,O51=0),"至少1位参与者","已计入")))))))))))))</x:f>
      </x:c>
      <x:c r="O51" s="17" t="n">
        <x:f>SUMPRODUCT((F51:M51="是")*(F$7:M$7&lt;&gt;""))</x:f>
        <x:v>0</x:v>
      </x:c>
      <x:c r="P51" s="17" t="n">
        <x:f>IF(N51="已计入",ROUND(E51*100,0),0)</x:f>
        <x:v>0</x:v>
      </x:c>
      <x:c r="Q51" s="17" t="n">
        <x:f>IF(O51=0,0,INT(P51/O51))</x:f>
        <x:v>0</x:v>
      </x:c>
      <x:c r="R51" s="17" t="n">
        <x:f>IF(O51=0,0,MOD(P51,O51))</x:f>
        <x:v>0</x:v>
      </x:c>
      <x:c r="S51" s="16" t="n">
        <x:f>IF(AND(N51="已计入",F51="是",F$7&lt;&gt;""),($Q51+IF(COUNTIFS($F51:F51,"是")&lt;=$R51,1,0))/100,0)</x:f>
        <x:v>0</x:v>
      </x:c>
      <x:c r="T51" s="16" t="n">
        <x:f>IF(AND(N51="已计入",G51="是",G$7&lt;&gt;""),($Q51+IF(COUNTIFS($F51:G51,"是")&lt;=$R51,1,0))/100,0)</x:f>
        <x:v>0</x:v>
      </x:c>
      <x:c r="U51" s="16" t="n">
        <x:f>IF(AND(N51="已计入",H51="是",H$7&lt;&gt;""),($Q51+IF(COUNTIFS($F51:H51,"是")&lt;=$R51,1,0))/100,0)</x:f>
        <x:v>0</x:v>
      </x:c>
      <x:c r="V51" s="16" t="n">
        <x:f>IF(AND(N51="已计入",I51="是",I$7&lt;&gt;""),($Q51+IF(COUNTIFS($F51:I51,"是")&lt;=$R51,1,0))/100,0)</x:f>
        <x:v>0</x:v>
      </x:c>
      <x:c r="W51" s="16" t="n">
        <x:f>IF(AND(N51="已计入",J51="是",J$7&lt;&gt;""),($Q51+IF(COUNTIFS($F51:J51,"是")&lt;=$R51,1,0))/100,0)</x:f>
        <x:v>0</x:v>
      </x:c>
      <x:c r="X51" s="16" t="n">
        <x:f>IF(AND(N51="已计入",K51="是",K$7&lt;&gt;""),($Q51+IF(COUNTIFS($F51:K51,"是")&lt;=$R51,1,0))/100,0)</x:f>
        <x:v>0</x:v>
      </x:c>
      <x:c r="Y51" s="16" t="n">
        <x:f>IF(AND(N51="已计入",L51="是",L$7&lt;&gt;""),($Q51+IF(COUNTIFS($F51:L51,"是")&lt;=$R51,1,0))/100,0)</x:f>
        <x:v>0</x:v>
      </x:c>
      <x:c r="Z51" s="16" t="n">
        <x:f>IF(AND(N51="已计入",M51="是",M$7&lt;&gt;""),($Q51+IF(COUNTIFS($F51:M51,"是")&lt;=$R51,1,0))/100,0)</x:f>
        <x:v>0</x:v>
      </x:c>
    </x:row>
    <x:row r="52" ht="26" customHeight="1">
      <x:c r="A52" s="2" t="n">
        <x:v>45</x:v>
      </x:c>
      <x:c r="B52" s="14"/>
      <x:c r="C52" s="5"/>
      <x:c r="D52" s="5"/>
      <x:c r="E52" s="15"/>
      <x:c r="F52" s="12"/>
      <x:c r="G52" s="12"/>
      <x:c r="H52" s="12"/>
      <x:c r="I52" s="12"/>
      <x:c r="J52" s="12"/>
      <x:c r="K52" s="12"/>
      <x:c r="L52" s="12"/>
      <x:c r="M52" s="12"/>
      <x:c r="N52" s="13" t="str">
        <x:f>IF(COUNTA(B52:M52)=0,"",IF('成员设置'!$B$18&lt;2,"先设置至少2位成员",IF(COUNTIFS('成员设置'!$C$9:$C$16,"可用")&lt;&gt;'成员设置'!$B$18,"先修正成员昵称",IF(C52="","填写费用项目",IF(D52="","选择付款人",IF(COUNTIFS('成员设置'!$B$9:$B$16,D52)&lt;&gt;1,"付款人不在成员中",IF(ISBLANK(E52),"填写金额",IF(NOT(ISNUMBER(E52)),"金额须为数字",IF(E52&lt;0,"金额不能小于0",IF(E52&lt;&gt;ROUND(E52,2),"金额最多两位小数",IF(COUNTIFS(F52:M52,"是")&lt;&gt;O52,"未设成员列不能选是",IF(COUNTA(F52:M52)&lt;&gt;COUNTIFS(F52:M52,"是")+COUNTIFS(F52:M52,"否"),"参与列只填是或否",IF(AND(E52&gt;0,O52=0),"至少1位参与者","已计入")))))))))))))</x:f>
      </x:c>
      <x:c r="O52" s="17" t="n">
        <x:f>SUMPRODUCT((F52:M52="是")*(F$7:M$7&lt;&gt;""))</x:f>
        <x:v>0</x:v>
      </x:c>
      <x:c r="P52" s="17" t="n">
        <x:f>IF(N52="已计入",ROUND(E52*100,0),0)</x:f>
        <x:v>0</x:v>
      </x:c>
      <x:c r="Q52" s="17" t="n">
        <x:f>IF(O52=0,0,INT(P52/O52))</x:f>
        <x:v>0</x:v>
      </x:c>
      <x:c r="R52" s="17" t="n">
        <x:f>IF(O52=0,0,MOD(P52,O52))</x:f>
        <x:v>0</x:v>
      </x:c>
      <x:c r="S52" s="16" t="n">
        <x:f>IF(AND(N52="已计入",F52="是",F$7&lt;&gt;""),($Q52+IF(COUNTIFS($F52:F52,"是")&lt;=$R52,1,0))/100,0)</x:f>
        <x:v>0</x:v>
      </x:c>
      <x:c r="T52" s="16" t="n">
        <x:f>IF(AND(N52="已计入",G52="是",G$7&lt;&gt;""),($Q52+IF(COUNTIFS($F52:G52,"是")&lt;=$R52,1,0))/100,0)</x:f>
        <x:v>0</x:v>
      </x:c>
      <x:c r="U52" s="16" t="n">
        <x:f>IF(AND(N52="已计入",H52="是",H$7&lt;&gt;""),($Q52+IF(COUNTIFS($F52:H52,"是")&lt;=$R52,1,0))/100,0)</x:f>
        <x:v>0</x:v>
      </x:c>
      <x:c r="V52" s="16" t="n">
        <x:f>IF(AND(N52="已计入",I52="是",I$7&lt;&gt;""),($Q52+IF(COUNTIFS($F52:I52,"是")&lt;=$R52,1,0))/100,0)</x:f>
        <x:v>0</x:v>
      </x:c>
      <x:c r="W52" s="16" t="n">
        <x:f>IF(AND(N52="已计入",J52="是",J$7&lt;&gt;""),($Q52+IF(COUNTIFS($F52:J52,"是")&lt;=$R52,1,0))/100,0)</x:f>
        <x:v>0</x:v>
      </x:c>
      <x:c r="X52" s="16" t="n">
        <x:f>IF(AND(N52="已计入",K52="是",K$7&lt;&gt;""),($Q52+IF(COUNTIFS($F52:K52,"是")&lt;=$R52,1,0))/100,0)</x:f>
        <x:v>0</x:v>
      </x:c>
      <x:c r="Y52" s="16" t="n">
        <x:f>IF(AND(N52="已计入",L52="是",L$7&lt;&gt;""),($Q52+IF(COUNTIFS($F52:L52,"是")&lt;=$R52,1,0))/100,0)</x:f>
        <x:v>0</x:v>
      </x:c>
      <x:c r="Z52" s="16" t="n">
        <x:f>IF(AND(N52="已计入",M52="是",M$7&lt;&gt;""),($Q52+IF(COUNTIFS($F52:M52,"是")&lt;=$R52,1,0))/100,0)</x:f>
        <x:v>0</x:v>
      </x:c>
    </x:row>
    <x:row r="53" ht="26" customHeight="1">
      <x:c r="A53" s="2" t="n">
        <x:v>46</x:v>
      </x:c>
      <x:c r="B53" s="14"/>
      <x:c r="C53" s="5"/>
      <x:c r="D53" s="5"/>
      <x:c r="E53" s="15"/>
      <x:c r="F53" s="12"/>
      <x:c r="G53" s="12"/>
      <x:c r="H53" s="12"/>
      <x:c r="I53" s="12"/>
      <x:c r="J53" s="12"/>
      <x:c r="K53" s="12"/>
      <x:c r="L53" s="12"/>
      <x:c r="M53" s="12"/>
      <x:c r="N53" s="13" t="str">
        <x:f>IF(COUNTA(B53:M53)=0,"",IF('成员设置'!$B$18&lt;2,"先设置至少2位成员",IF(COUNTIFS('成员设置'!$C$9:$C$16,"可用")&lt;&gt;'成员设置'!$B$18,"先修正成员昵称",IF(C53="","填写费用项目",IF(D53="","选择付款人",IF(COUNTIFS('成员设置'!$B$9:$B$16,D53)&lt;&gt;1,"付款人不在成员中",IF(ISBLANK(E53),"填写金额",IF(NOT(ISNUMBER(E53)),"金额须为数字",IF(E53&lt;0,"金额不能小于0",IF(E53&lt;&gt;ROUND(E53,2),"金额最多两位小数",IF(COUNTIFS(F53:M53,"是")&lt;&gt;O53,"未设成员列不能选是",IF(COUNTA(F53:M53)&lt;&gt;COUNTIFS(F53:M53,"是")+COUNTIFS(F53:M53,"否"),"参与列只填是或否",IF(AND(E53&gt;0,O53=0),"至少1位参与者","已计入")))))))))))))</x:f>
      </x:c>
      <x:c r="O53" s="17" t="n">
        <x:f>SUMPRODUCT((F53:M53="是")*(F$7:M$7&lt;&gt;""))</x:f>
        <x:v>0</x:v>
      </x:c>
      <x:c r="P53" s="17" t="n">
        <x:f>IF(N53="已计入",ROUND(E53*100,0),0)</x:f>
        <x:v>0</x:v>
      </x:c>
      <x:c r="Q53" s="17" t="n">
        <x:f>IF(O53=0,0,INT(P53/O53))</x:f>
        <x:v>0</x:v>
      </x:c>
      <x:c r="R53" s="17" t="n">
        <x:f>IF(O53=0,0,MOD(P53,O53))</x:f>
        <x:v>0</x:v>
      </x:c>
      <x:c r="S53" s="16" t="n">
        <x:f>IF(AND(N53="已计入",F53="是",F$7&lt;&gt;""),($Q53+IF(COUNTIFS($F53:F53,"是")&lt;=$R53,1,0))/100,0)</x:f>
        <x:v>0</x:v>
      </x:c>
      <x:c r="T53" s="16" t="n">
        <x:f>IF(AND(N53="已计入",G53="是",G$7&lt;&gt;""),($Q53+IF(COUNTIFS($F53:G53,"是")&lt;=$R53,1,0))/100,0)</x:f>
        <x:v>0</x:v>
      </x:c>
      <x:c r="U53" s="16" t="n">
        <x:f>IF(AND(N53="已计入",H53="是",H$7&lt;&gt;""),($Q53+IF(COUNTIFS($F53:H53,"是")&lt;=$R53,1,0))/100,0)</x:f>
        <x:v>0</x:v>
      </x:c>
      <x:c r="V53" s="16" t="n">
        <x:f>IF(AND(N53="已计入",I53="是",I$7&lt;&gt;""),($Q53+IF(COUNTIFS($F53:I53,"是")&lt;=$R53,1,0))/100,0)</x:f>
        <x:v>0</x:v>
      </x:c>
      <x:c r="W53" s="16" t="n">
        <x:f>IF(AND(N53="已计入",J53="是",J$7&lt;&gt;""),($Q53+IF(COUNTIFS($F53:J53,"是")&lt;=$R53,1,0))/100,0)</x:f>
        <x:v>0</x:v>
      </x:c>
      <x:c r="X53" s="16" t="n">
        <x:f>IF(AND(N53="已计入",K53="是",K$7&lt;&gt;""),($Q53+IF(COUNTIFS($F53:K53,"是")&lt;=$R53,1,0))/100,0)</x:f>
        <x:v>0</x:v>
      </x:c>
      <x:c r="Y53" s="16" t="n">
        <x:f>IF(AND(N53="已计入",L53="是",L$7&lt;&gt;""),($Q53+IF(COUNTIFS($F53:L53,"是")&lt;=$R53,1,0))/100,0)</x:f>
        <x:v>0</x:v>
      </x:c>
      <x:c r="Z53" s="16" t="n">
        <x:f>IF(AND(N53="已计入",M53="是",M$7&lt;&gt;""),($Q53+IF(COUNTIFS($F53:M53,"是")&lt;=$R53,1,0))/100,0)</x:f>
        <x:v>0</x:v>
      </x:c>
    </x:row>
    <x:row r="54" ht="26" customHeight="1">
      <x:c r="A54" s="2" t="n">
        <x:v>47</x:v>
      </x:c>
      <x:c r="B54" s="14"/>
      <x:c r="C54" s="5"/>
      <x:c r="D54" s="5"/>
      <x:c r="E54" s="15"/>
      <x:c r="F54" s="12"/>
      <x:c r="G54" s="12"/>
      <x:c r="H54" s="12"/>
      <x:c r="I54" s="12"/>
      <x:c r="J54" s="12"/>
      <x:c r="K54" s="12"/>
      <x:c r="L54" s="12"/>
      <x:c r="M54" s="12"/>
      <x:c r="N54" s="13" t="str">
        <x:f>IF(COUNTA(B54:M54)=0,"",IF('成员设置'!$B$18&lt;2,"先设置至少2位成员",IF(COUNTIFS('成员设置'!$C$9:$C$16,"可用")&lt;&gt;'成员设置'!$B$18,"先修正成员昵称",IF(C54="","填写费用项目",IF(D54="","选择付款人",IF(COUNTIFS('成员设置'!$B$9:$B$16,D54)&lt;&gt;1,"付款人不在成员中",IF(ISBLANK(E54),"填写金额",IF(NOT(ISNUMBER(E54)),"金额须为数字",IF(E54&lt;0,"金额不能小于0",IF(E54&lt;&gt;ROUND(E54,2),"金额最多两位小数",IF(COUNTIFS(F54:M54,"是")&lt;&gt;O54,"未设成员列不能选是",IF(COUNTA(F54:M54)&lt;&gt;COUNTIFS(F54:M54,"是")+COUNTIFS(F54:M54,"否"),"参与列只填是或否",IF(AND(E54&gt;0,O54=0),"至少1位参与者","已计入")))))))))))))</x:f>
      </x:c>
      <x:c r="O54" s="17" t="n">
        <x:f>SUMPRODUCT((F54:M54="是")*(F$7:M$7&lt;&gt;""))</x:f>
        <x:v>0</x:v>
      </x:c>
      <x:c r="P54" s="17" t="n">
        <x:f>IF(N54="已计入",ROUND(E54*100,0),0)</x:f>
        <x:v>0</x:v>
      </x:c>
      <x:c r="Q54" s="17" t="n">
        <x:f>IF(O54=0,0,INT(P54/O54))</x:f>
        <x:v>0</x:v>
      </x:c>
      <x:c r="R54" s="17" t="n">
        <x:f>IF(O54=0,0,MOD(P54,O54))</x:f>
        <x:v>0</x:v>
      </x:c>
      <x:c r="S54" s="16" t="n">
        <x:f>IF(AND(N54="已计入",F54="是",F$7&lt;&gt;""),($Q54+IF(COUNTIFS($F54:F54,"是")&lt;=$R54,1,0))/100,0)</x:f>
        <x:v>0</x:v>
      </x:c>
      <x:c r="T54" s="16" t="n">
        <x:f>IF(AND(N54="已计入",G54="是",G$7&lt;&gt;""),($Q54+IF(COUNTIFS($F54:G54,"是")&lt;=$R54,1,0))/100,0)</x:f>
        <x:v>0</x:v>
      </x:c>
      <x:c r="U54" s="16" t="n">
        <x:f>IF(AND(N54="已计入",H54="是",H$7&lt;&gt;""),($Q54+IF(COUNTIFS($F54:H54,"是")&lt;=$R54,1,0))/100,0)</x:f>
        <x:v>0</x:v>
      </x:c>
      <x:c r="V54" s="16" t="n">
        <x:f>IF(AND(N54="已计入",I54="是",I$7&lt;&gt;""),($Q54+IF(COUNTIFS($F54:I54,"是")&lt;=$R54,1,0))/100,0)</x:f>
        <x:v>0</x:v>
      </x:c>
      <x:c r="W54" s="16" t="n">
        <x:f>IF(AND(N54="已计入",J54="是",J$7&lt;&gt;""),($Q54+IF(COUNTIFS($F54:J54,"是")&lt;=$R54,1,0))/100,0)</x:f>
        <x:v>0</x:v>
      </x:c>
      <x:c r="X54" s="16" t="n">
        <x:f>IF(AND(N54="已计入",K54="是",K$7&lt;&gt;""),($Q54+IF(COUNTIFS($F54:K54,"是")&lt;=$R54,1,0))/100,0)</x:f>
        <x:v>0</x:v>
      </x:c>
      <x:c r="Y54" s="16" t="n">
        <x:f>IF(AND(N54="已计入",L54="是",L$7&lt;&gt;""),($Q54+IF(COUNTIFS($F54:L54,"是")&lt;=$R54,1,0))/100,0)</x:f>
        <x:v>0</x:v>
      </x:c>
      <x:c r="Z54" s="16" t="n">
        <x:f>IF(AND(N54="已计入",M54="是",M$7&lt;&gt;""),($Q54+IF(COUNTIFS($F54:M54,"是")&lt;=$R54,1,0))/100,0)</x:f>
        <x:v>0</x:v>
      </x:c>
    </x:row>
    <x:row r="55" ht="26" customHeight="1">
      <x:c r="A55" s="2" t="n">
        <x:v>48</x:v>
      </x:c>
      <x:c r="B55" s="14"/>
      <x:c r="C55" s="5"/>
      <x:c r="D55" s="5"/>
      <x:c r="E55" s="15"/>
      <x:c r="F55" s="12"/>
      <x:c r="G55" s="12"/>
      <x:c r="H55" s="12"/>
      <x:c r="I55" s="12"/>
      <x:c r="J55" s="12"/>
      <x:c r="K55" s="12"/>
      <x:c r="L55" s="12"/>
      <x:c r="M55" s="12"/>
      <x:c r="N55" s="13" t="str">
        <x:f>IF(COUNTA(B55:M55)=0,"",IF('成员设置'!$B$18&lt;2,"先设置至少2位成员",IF(COUNTIFS('成员设置'!$C$9:$C$16,"可用")&lt;&gt;'成员设置'!$B$18,"先修正成员昵称",IF(C55="","填写费用项目",IF(D55="","选择付款人",IF(COUNTIFS('成员设置'!$B$9:$B$16,D55)&lt;&gt;1,"付款人不在成员中",IF(ISBLANK(E55),"填写金额",IF(NOT(ISNUMBER(E55)),"金额须为数字",IF(E55&lt;0,"金额不能小于0",IF(E55&lt;&gt;ROUND(E55,2),"金额最多两位小数",IF(COUNTIFS(F55:M55,"是")&lt;&gt;O55,"未设成员列不能选是",IF(COUNTA(F55:M55)&lt;&gt;COUNTIFS(F55:M55,"是")+COUNTIFS(F55:M55,"否"),"参与列只填是或否",IF(AND(E55&gt;0,O55=0),"至少1位参与者","已计入")))))))))))))</x:f>
      </x:c>
      <x:c r="O55" s="17" t="n">
        <x:f>SUMPRODUCT((F55:M55="是")*(F$7:M$7&lt;&gt;""))</x:f>
        <x:v>0</x:v>
      </x:c>
      <x:c r="P55" s="17" t="n">
        <x:f>IF(N55="已计入",ROUND(E55*100,0),0)</x:f>
        <x:v>0</x:v>
      </x:c>
      <x:c r="Q55" s="17" t="n">
        <x:f>IF(O55=0,0,INT(P55/O55))</x:f>
        <x:v>0</x:v>
      </x:c>
      <x:c r="R55" s="17" t="n">
        <x:f>IF(O55=0,0,MOD(P55,O55))</x:f>
        <x:v>0</x:v>
      </x:c>
      <x:c r="S55" s="16" t="n">
        <x:f>IF(AND(N55="已计入",F55="是",F$7&lt;&gt;""),($Q55+IF(COUNTIFS($F55:F55,"是")&lt;=$R55,1,0))/100,0)</x:f>
        <x:v>0</x:v>
      </x:c>
      <x:c r="T55" s="16" t="n">
        <x:f>IF(AND(N55="已计入",G55="是",G$7&lt;&gt;""),($Q55+IF(COUNTIFS($F55:G55,"是")&lt;=$R55,1,0))/100,0)</x:f>
        <x:v>0</x:v>
      </x:c>
      <x:c r="U55" s="16" t="n">
        <x:f>IF(AND(N55="已计入",H55="是",H$7&lt;&gt;""),($Q55+IF(COUNTIFS($F55:H55,"是")&lt;=$R55,1,0))/100,0)</x:f>
        <x:v>0</x:v>
      </x:c>
      <x:c r="V55" s="16" t="n">
        <x:f>IF(AND(N55="已计入",I55="是",I$7&lt;&gt;""),($Q55+IF(COUNTIFS($F55:I55,"是")&lt;=$R55,1,0))/100,0)</x:f>
        <x:v>0</x:v>
      </x:c>
      <x:c r="W55" s="16" t="n">
        <x:f>IF(AND(N55="已计入",J55="是",J$7&lt;&gt;""),($Q55+IF(COUNTIFS($F55:J55,"是")&lt;=$R55,1,0))/100,0)</x:f>
        <x:v>0</x:v>
      </x:c>
      <x:c r="X55" s="16" t="n">
        <x:f>IF(AND(N55="已计入",K55="是",K$7&lt;&gt;""),($Q55+IF(COUNTIFS($F55:K55,"是")&lt;=$R55,1,0))/100,0)</x:f>
        <x:v>0</x:v>
      </x:c>
      <x:c r="Y55" s="16" t="n">
        <x:f>IF(AND(N55="已计入",L55="是",L$7&lt;&gt;""),($Q55+IF(COUNTIFS($F55:L55,"是")&lt;=$R55,1,0))/100,0)</x:f>
        <x:v>0</x:v>
      </x:c>
      <x:c r="Z55" s="16" t="n">
        <x:f>IF(AND(N55="已计入",M55="是",M$7&lt;&gt;""),($Q55+IF(COUNTIFS($F55:M55,"是")&lt;=$R55,1,0))/100,0)</x:f>
        <x:v>0</x:v>
      </x:c>
    </x:row>
    <x:row r="56" ht="26" customHeight="1">
      <x:c r="A56" s="2" t="n">
        <x:v>49</x:v>
      </x:c>
      <x:c r="B56" s="14"/>
      <x:c r="C56" s="5"/>
      <x:c r="D56" s="5"/>
      <x:c r="E56" s="15"/>
      <x:c r="F56" s="12"/>
      <x:c r="G56" s="12"/>
      <x:c r="H56" s="12"/>
      <x:c r="I56" s="12"/>
      <x:c r="J56" s="12"/>
      <x:c r="K56" s="12"/>
      <x:c r="L56" s="12"/>
      <x:c r="M56" s="12"/>
      <x:c r="N56" s="13" t="str">
        <x:f>IF(COUNTA(B56:M56)=0,"",IF('成员设置'!$B$18&lt;2,"先设置至少2位成员",IF(COUNTIFS('成员设置'!$C$9:$C$16,"可用")&lt;&gt;'成员设置'!$B$18,"先修正成员昵称",IF(C56="","填写费用项目",IF(D56="","选择付款人",IF(COUNTIFS('成员设置'!$B$9:$B$16,D56)&lt;&gt;1,"付款人不在成员中",IF(ISBLANK(E56),"填写金额",IF(NOT(ISNUMBER(E56)),"金额须为数字",IF(E56&lt;0,"金额不能小于0",IF(E56&lt;&gt;ROUND(E56,2),"金额最多两位小数",IF(COUNTIFS(F56:M56,"是")&lt;&gt;O56,"未设成员列不能选是",IF(COUNTA(F56:M56)&lt;&gt;COUNTIFS(F56:M56,"是")+COUNTIFS(F56:M56,"否"),"参与列只填是或否",IF(AND(E56&gt;0,O56=0),"至少1位参与者","已计入")))))))))))))</x:f>
      </x:c>
      <x:c r="O56" s="17" t="n">
        <x:f>SUMPRODUCT((F56:M56="是")*(F$7:M$7&lt;&gt;""))</x:f>
        <x:v>0</x:v>
      </x:c>
      <x:c r="P56" s="17" t="n">
        <x:f>IF(N56="已计入",ROUND(E56*100,0),0)</x:f>
        <x:v>0</x:v>
      </x:c>
      <x:c r="Q56" s="17" t="n">
        <x:f>IF(O56=0,0,INT(P56/O56))</x:f>
        <x:v>0</x:v>
      </x:c>
      <x:c r="R56" s="17" t="n">
        <x:f>IF(O56=0,0,MOD(P56,O56))</x:f>
        <x:v>0</x:v>
      </x:c>
      <x:c r="S56" s="16" t="n">
        <x:f>IF(AND(N56="已计入",F56="是",F$7&lt;&gt;""),($Q56+IF(COUNTIFS($F56:F56,"是")&lt;=$R56,1,0))/100,0)</x:f>
        <x:v>0</x:v>
      </x:c>
      <x:c r="T56" s="16" t="n">
        <x:f>IF(AND(N56="已计入",G56="是",G$7&lt;&gt;""),($Q56+IF(COUNTIFS($F56:G56,"是")&lt;=$R56,1,0))/100,0)</x:f>
        <x:v>0</x:v>
      </x:c>
      <x:c r="U56" s="16" t="n">
        <x:f>IF(AND(N56="已计入",H56="是",H$7&lt;&gt;""),($Q56+IF(COUNTIFS($F56:H56,"是")&lt;=$R56,1,0))/100,0)</x:f>
        <x:v>0</x:v>
      </x:c>
      <x:c r="V56" s="16" t="n">
        <x:f>IF(AND(N56="已计入",I56="是",I$7&lt;&gt;""),($Q56+IF(COUNTIFS($F56:I56,"是")&lt;=$R56,1,0))/100,0)</x:f>
        <x:v>0</x:v>
      </x:c>
      <x:c r="W56" s="16" t="n">
        <x:f>IF(AND(N56="已计入",J56="是",J$7&lt;&gt;""),($Q56+IF(COUNTIFS($F56:J56,"是")&lt;=$R56,1,0))/100,0)</x:f>
        <x:v>0</x:v>
      </x:c>
      <x:c r="X56" s="16" t="n">
        <x:f>IF(AND(N56="已计入",K56="是",K$7&lt;&gt;""),($Q56+IF(COUNTIFS($F56:K56,"是")&lt;=$R56,1,0))/100,0)</x:f>
        <x:v>0</x:v>
      </x:c>
      <x:c r="Y56" s="16" t="n">
        <x:f>IF(AND(N56="已计入",L56="是",L$7&lt;&gt;""),($Q56+IF(COUNTIFS($F56:L56,"是")&lt;=$R56,1,0))/100,0)</x:f>
        <x:v>0</x:v>
      </x:c>
      <x:c r="Z56" s="16" t="n">
        <x:f>IF(AND(N56="已计入",M56="是",M$7&lt;&gt;""),($Q56+IF(COUNTIFS($F56:M56,"是")&lt;=$R56,1,0))/100,0)</x:f>
        <x:v>0</x:v>
      </x:c>
    </x:row>
    <x:row r="57" ht="26" customHeight="1">
      <x:c r="A57" s="2" t="n">
        <x:v>50</x:v>
      </x:c>
      <x:c r="B57" s="14"/>
      <x:c r="C57" s="5"/>
      <x:c r="D57" s="5"/>
      <x:c r="E57" s="15"/>
      <x:c r="F57" s="12"/>
      <x:c r="G57" s="12"/>
      <x:c r="H57" s="12"/>
      <x:c r="I57" s="12"/>
      <x:c r="J57" s="12"/>
      <x:c r="K57" s="12"/>
      <x:c r="L57" s="12"/>
      <x:c r="M57" s="12"/>
      <x:c r="N57" s="13" t="str">
        <x:f>IF(COUNTA(B57:M57)=0,"",IF('成员设置'!$B$18&lt;2,"先设置至少2位成员",IF(COUNTIFS('成员设置'!$C$9:$C$16,"可用")&lt;&gt;'成员设置'!$B$18,"先修正成员昵称",IF(C57="","填写费用项目",IF(D57="","选择付款人",IF(COUNTIFS('成员设置'!$B$9:$B$16,D57)&lt;&gt;1,"付款人不在成员中",IF(ISBLANK(E57),"填写金额",IF(NOT(ISNUMBER(E57)),"金额须为数字",IF(E57&lt;0,"金额不能小于0",IF(E57&lt;&gt;ROUND(E57,2),"金额最多两位小数",IF(COUNTIFS(F57:M57,"是")&lt;&gt;O57,"未设成员列不能选是",IF(COUNTA(F57:M57)&lt;&gt;COUNTIFS(F57:M57,"是")+COUNTIFS(F57:M57,"否"),"参与列只填是或否",IF(AND(E57&gt;0,O57=0),"至少1位参与者","已计入")))))))))))))</x:f>
      </x:c>
      <x:c r="O57" s="17" t="n">
        <x:f>SUMPRODUCT((F57:M57="是")*(F$7:M$7&lt;&gt;""))</x:f>
        <x:v>0</x:v>
      </x:c>
      <x:c r="P57" s="17" t="n">
        <x:f>IF(N57="已计入",ROUND(E57*100,0),0)</x:f>
        <x:v>0</x:v>
      </x:c>
      <x:c r="Q57" s="17" t="n">
        <x:f>IF(O57=0,0,INT(P57/O57))</x:f>
        <x:v>0</x:v>
      </x:c>
      <x:c r="R57" s="17" t="n">
        <x:f>IF(O57=0,0,MOD(P57,O57))</x:f>
        <x:v>0</x:v>
      </x:c>
      <x:c r="S57" s="16" t="n">
        <x:f>IF(AND(N57="已计入",F57="是",F$7&lt;&gt;""),($Q57+IF(COUNTIFS($F57:F57,"是")&lt;=$R57,1,0))/100,0)</x:f>
        <x:v>0</x:v>
      </x:c>
      <x:c r="T57" s="16" t="n">
        <x:f>IF(AND(N57="已计入",G57="是",G$7&lt;&gt;""),($Q57+IF(COUNTIFS($F57:G57,"是")&lt;=$R57,1,0))/100,0)</x:f>
        <x:v>0</x:v>
      </x:c>
      <x:c r="U57" s="16" t="n">
        <x:f>IF(AND(N57="已计入",H57="是",H$7&lt;&gt;""),($Q57+IF(COUNTIFS($F57:H57,"是")&lt;=$R57,1,0))/100,0)</x:f>
        <x:v>0</x:v>
      </x:c>
      <x:c r="V57" s="16" t="n">
        <x:f>IF(AND(N57="已计入",I57="是",I$7&lt;&gt;""),($Q57+IF(COUNTIFS($F57:I57,"是")&lt;=$R57,1,0))/100,0)</x:f>
        <x:v>0</x:v>
      </x:c>
      <x:c r="W57" s="16" t="n">
        <x:f>IF(AND(N57="已计入",J57="是",J$7&lt;&gt;""),($Q57+IF(COUNTIFS($F57:J57,"是")&lt;=$R57,1,0))/100,0)</x:f>
        <x:v>0</x:v>
      </x:c>
      <x:c r="X57" s="16" t="n">
        <x:f>IF(AND(N57="已计入",K57="是",K$7&lt;&gt;""),($Q57+IF(COUNTIFS($F57:K57,"是")&lt;=$R57,1,0))/100,0)</x:f>
        <x:v>0</x:v>
      </x:c>
      <x:c r="Y57" s="16" t="n">
        <x:f>IF(AND(N57="已计入",L57="是",L$7&lt;&gt;""),($Q57+IF(COUNTIFS($F57:L57,"是")&lt;=$R57,1,0))/100,0)</x:f>
        <x:v>0</x:v>
      </x:c>
      <x:c r="Z57" s="16" t="n">
        <x:f>IF(AND(N57="已计入",M57="是",M$7&lt;&gt;""),($Q57+IF(COUNTIFS($F57:M57,"是")&lt;=$R57,1,0))/100,0)</x:f>
        <x:v>0</x:v>
      </x:c>
    </x:row>
    <x:row r="58" ht="26" customHeight="1">
      <x:c r="A58" s="2" t="n">
        <x:v>51</x:v>
      </x:c>
      <x:c r="B58" s="14"/>
      <x:c r="C58" s="5"/>
      <x:c r="D58" s="5"/>
      <x:c r="E58" s="15"/>
      <x:c r="F58" s="12"/>
      <x:c r="G58" s="12"/>
      <x:c r="H58" s="12"/>
      <x:c r="I58" s="12"/>
      <x:c r="J58" s="12"/>
      <x:c r="K58" s="12"/>
      <x:c r="L58" s="12"/>
      <x:c r="M58" s="12"/>
      <x:c r="N58" s="13" t="str">
        <x:f>IF(COUNTA(B58:M58)=0,"",IF('成员设置'!$B$18&lt;2,"先设置至少2位成员",IF(COUNTIFS('成员设置'!$C$9:$C$16,"可用")&lt;&gt;'成员设置'!$B$18,"先修正成员昵称",IF(C58="","填写费用项目",IF(D58="","选择付款人",IF(COUNTIFS('成员设置'!$B$9:$B$16,D58)&lt;&gt;1,"付款人不在成员中",IF(ISBLANK(E58),"填写金额",IF(NOT(ISNUMBER(E58)),"金额须为数字",IF(E58&lt;0,"金额不能小于0",IF(E58&lt;&gt;ROUND(E58,2),"金额最多两位小数",IF(COUNTIFS(F58:M58,"是")&lt;&gt;O58,"未设成员列不能选是",IF(COUNTA(F58:M58)&lt;&gt;COUNTIFS(F58:M58,"是")+COUNTIFS(F58:M58,"否"),"参与列只填是或否",IF(AND(E58&gt;0,O58=0),"至少1位参与者","已计入")))))))))))))</x:f>
      </x:c>
      <x:c r="O58" s="17" t="n">
        <x:f>SUMPRODUCT((F58:M58="是")*(F$7:M$7&lt;&gt;""))</x:f>
        <x:v>0</x:v>
      </x:c>
      <x:c r="P58" s="17" t="n">
        <x:f>IF(N58="已计入",ROUND(E58*100,0),0)</x:f>
        <x:v>0</x:v>
      </x:c>
      <x:c r="Q58" s="17" t="n">
        <x:f>IF(O58=0,0,INT(P58/O58))</x:f>
        <x:v>0</x:v>
      </x:c>
      <x:c r="R58" s="17" t="n">
        <x:f>IF(O58=0,0,MOD(P58,O58))</x:f>
        <x:v>0</x:v>
      </x:c>
      <x:c r="S58" s="16" t="n">
        <x:f>IF(AND(N58="已计入",F58="是",F$7&lt;&gt;""),($Q58+IF(COUNTIFS($F58:F58,"是")&lt;=$R58,1,0))/100,0)</x:f>
        <x:v>0</x:v>
      </x:c>
      <x:c r="T58" s="16" t="n">
        <x:f>IF(AND(N58="已计入",G58="是",G$7&lt;&gt;""),($Q58+IF(COUNTIFS($F58:G58,"是")&lt;=$R58,1,0))/100,0)</x:f>
        <x:v>0</x:v>
      </x:c>
      <x:c r="U58" s="16" t="n">
        <x:f>IF(AND(N58="已计入",H58="是",H$7&lt;&gt;""),($Q58+IF(COUNTIFS($F58:H58,"是")&lt;=$R58,1,0))/100,0)</x:f>
        <x:v>0</x:v>
      </x:c>
      <x:c r="V58" s="16" t="n">
        <x:f>IF(AND(N58="已计入",I58="是",I$7&lt;&gt;""),($Q58+IF(COUNTIFS($F58:I58,"是")&lt;=$R58,1,0))/100,0)</x:f>
        <x:v>0</x:v>
      </x:c>
      <x:c r="W58" s="16" t="n">
        <x:f>IF(AND(N58="已计入",J58="是",J$7&lt;&gt;""),($Q58+IF(COUNTIFS($F58:J58,"是")&lt;=$R58,1,0))/100,0)</x:f>
        <x:v>0</x:v>
      </x:c>
      <x:c r="X58" s="16" t="n">
        <x:f>IF(AND(N58="已计入",K58="是",K$7&lt;&gt;""),($Q58+IF(COUNTIFS($F58:K58,"是")&lt;=$R58,1,0))/100,0)</x:f>
        <x:v>0</x:v>
      </x:c>
      <x:c r="Y58" s="16" t="n">
        <x:f>IF(AND(N58="已计入",L58="是",L$7&lt;&gt;""),($Q58+IF(COUNTIFS($F58:L58,"是")&lt;=$R58,1,0))/100,0)</x:f>
        <x:v>0</x:v>
      </x:c>
      <x:c r="Z58" s="16" t="n">
        <x:f>IF(AND(N58="已计入",M58="是",M$7&lt;&gt;""),($Q58+IF(COUNTIFS($F58:M58,"是")&lt;=$R58,1,0))/100,0)</x:f>
        <x:v>0</x:v>
      </x:c>
    </x:row>
    <x:row r="59" ht="26" customHeight="1">
      <x:c r="A59" s="2" t="n">
        <x:v>52</x:v>
      </x:c>
      <x:c r="B59" s="14"/>
      <x:c r="C59" s="5"/>
      <x:c r="D59" s="5"/>
      <x:c r="E59" s="15"/>
      <x:c r="F59" s="12"/>
      <x:c r="G59" s="12"/>
      <x:c r="H59" s="12"/>
      <x:c r="I59" s="12"/>
      <x:c r="J59" s="12"/>
      <x:c r="K59" s="12"/>
      <x:c r="L59" s="12"/>
      <x:c r="M59" s="12"/>
      <x:c r="N59" s="13" t="str">
        <x:f>IF(COUNTA(B59:M59)=0,"",IF('成员设置'!$B$18&lt;2,"先设置至少2位成员",IF(COUNTIFS('成员设置'!$C$9:$C$16,"可用")&lt;&gt;'成员设置'!$B$18,"先修正成员昵称",IF(C59="","填写费用项目",IF(D59="","选择付款人",IF(COUNTIFS('成员设置'!$B$9:$B$16,D59)&lt;&gt;1,"付款人不在成员中",IF(ISBLANK(E59),"填写金额",IF(NOT(ISNUMBER(E59)),"金额须为数字",IF(E59&lt;0,"金额不能小于0",IF(E59&lt;&gt;ROUND(E59,2),"金额最多两位小数",IF(COUNTIFS(F59:M59,"是")&lt;&gt;O59,"未设成员列不能选是",IF(COUNTA(F59:M59)&lt;&gt;COUNTIFS(F59:M59,"是")+COUNTIFS(F59:M59,"否"),"参与列只填是或否",IF(AND(E59&gt;0,O59=0),"至少1位参与者","已计入")))))))))))))</x:f>
      </x:c>
      <x:c r="O59" s="17" t="n">
        <x:f>SUMPRODUCT((F59:M59="是")*(F$7:M$7&lt;&gt;""))</x:f>
        <x:v>0</x:v>
      </x:c>
      <x:c r="P59" s="17" t="n">
        <x:f>IF(N59="已计入",ROUND(E59*100,0),0)</x:f>
        <x:v>0</x:v>
      </x:c>
      <x:c r="Q59" s="17" t="n">
        <x:f>IF(O59=0,0,INT(P59/O59))</x:f>
        <x:v>0</x:v>
      </x:c>
      <x:c r="R59" s="17" t="n">
        <x:f>IF(O59=0,0,MOD(P59,O59))</x:f>
        <x:v>0</x:v>
      </x:c>
      <x:c r="S59" s="16" t="n">
        <x:f>IF(AND(N59="已计入",F59="是",F$7&lt;&gt;""),($Q59+IF(COUNTIFS($F59:F59,"是")&lt;=$R59,1,0))/100,0)</x:f>
        <x:v>0</x:v>
      </x:c>
      <x:c r="T59" s="16" t="n">
        <x:f>IF(AND(N59="已计入",G59="是",G$7&lt;&gt;""),($Q59+IF(COUNTIFS($F59:G59,"是")&lt;=$R59,1,0))/100,0)</x:f>
        <x:v>0</x:v>
      </x:c>
      <x:c r="U59" s="16" t="n">
        <x:f>IF(AND(N59="已计入",H59="是",H$7&lt;&gt;""),($Q59+IF(COUNTIFS($F59:H59,"是")&lt;=$R59,1,0))/100,0)</x:f>
        <x:v>0</x:v>
      </x:c>
      <x:c r="V59" s="16" t="n">
        <x:f>IF(AND(N59="已计入",I59="是",I$7&lt;&gt;""),($Q59+IF(COUNTIFS($F59:I59,"是")&lt;=$R59,1,0))/100,0)</x:f>
        <x:v>0</x:v>
      </x:c>
      <x:c r="W59" s="16" t="n">
        <x:f>IF(AND(N59="已计入",J59="是",J$7&lt;&gt;""),($Q59+IF(COUNTIFS($F59:J59,"是")&lt;=$R59,1,0))/100,0)</x:f>
        <x:v>0</x:v>
      </x:c>
      <x:c r="X59" s="16" t="n">
        <x:f>IF(AND(N59="已计入",K59="是",K$7&lt;&gt;""),($Q59+IF(COUNTIFS($F59:K59,"是")&lt;=$R59,1,0))/100,0)</x:f>
        <x:v>0</x:v>
      </x:c>
      <x:c r="Y59" s="16" t="n">
        <x:f>IF(AND(N59="已计入",L59="是",L$7&lt;&gt;""),($Q59+IF(COUNTIFS($F59:L59,"是")&lt;=$R59,1,0))/100,0)</x:f>
        <x:v>0</x:v>
      </x:c>
      <x:c r="Z59" s="16" t="n">
        <x:f>IF(AND(N59="已计入",M59="是",M$7&lt;&gt;""),($Q59+IF(COUNTIFS($F59:M59,"是")&lt;=$R59,1,0))/100,0)</x:f>
        <x:v>0</x:v>
      </x:c>
    </x:row>
    <x:row r="60" ht="26" customHeight="1">
      <x:c r="A60" s="2" t="n">
        <x:v>53</x:v>
      </x:c>
      <x:c r="B60" s="14"/>
      <x:c r="C60" s="5"/>
      <x:c r="D60" s="5"/>
      <x:c r="E60" s="15"/>
      <x:c r="F60" s="12"/>
      <x:c r="G60" s="12"/>
      <x:c r="H60" s="12"/>
      <x:c r="I60" s="12"/>
      <x:c r="J60" s="12"/>
      <x:c r="K60" s="12"/>
      <x:c r="L60" s="12"/>
      <x:c r="M60" s="12"/>
      <x:c r="N60" s="13" t="str">
        <x:f>IF(COUNTA(B60:M60)=0,"",IF('成员设置'!$B$18&lt;2,"先设置至少2位成员",IF(COUNTIFS('成员设置'!$C$9:$C$16,"可用")&lt;&gt;'成员设置'!$B$18,"先修正成员昵称",IF(C60="","填写费用项目",IF(D60="","选择付款人",IF(COUNTIFS('成员设置'!$B$9:$B$16,D60)&lt;&gt;1,"付款人不在成员中",IF(ISBLANK(E60),"填写金额",IF(NOT(ISNUMBER(E60)),"金额须为数字",IF(E60&lt;0,"金额不能小于0",IF(E60&lt;&gt;ROUND(E60,2),"金额最多两位小数",IF(COUNTIFS(F60:M60,"是")&lt;&gt;O60,"未设成员列不能选是",IF(COUNTA(F60:M60)&lt;&gt;COUNTIFS(F60:M60,"是")+COUNTIFS(F60:M60,"否"),"参与列只填是或否",IF(AND(E60&gt;0,O60=0),"至少1位参与者","已计入")))))))))))))</x:f>
      </x:c>
      <x:c r="O60" s="17" t="n">
        <x:f>SUMPRODUCT((F60:M60="是")*(F$7:M$7&lt;&gt;""))</x:f>
        <x:v>0</x:v>
      </x:c>
      <x:c r="P60" s="17" t="n">
        <x:f>IF(N60="已计入",ROUND(E60*100,0),0)</x:f>
        <x:v>0</x:v>
      </x:c>
      <x:c r="Q60" s="17" t="n">
        <x:f>IF(O60=0,0,INT(P60/O60))</x:f>
        <x:v>0</x:v>
      </x:c>
      <x:c r="R60" s="17" t="n">
        <x:f>IF(O60=0,0,MOD(P60,O60))</x:f>
        <x:v>0</x:v>
      </x:c>
      <x:c r="S60" s="16" t="n">
        <x:f>IF(AND(N60="已计入",F60="是",F$7&lt;&gt;""),($Q60+IF(COUNTIFS($F60:F60,"是")&lt;=$R60,1,0))/100,0)</x:f>
        <x:v>0</x:v>
      </x:c>
      <x:c r="T60" s="16" t="n">
        <x:f>IF(AND(N60="已计入",G60="是",G$7&lt;&gt;""),($Q60+IF(COUNTIFS($F60:G60,"是")&lt;=$R60,1,0))/100,0)</x:f>
        <x:v>0</x:v>
      </x:c>
      <x:c r="U60" s="16" t="n">
        <x:f>IF(AND(N60="已计入",H60="是",H$7&lt;&gt;""),($Q60+IF(COUNTIFS($F60:H60,"是")&lt;=$R60,1,0))/100,0)</x:f>
        <x:v>0</x:v>
      </x:c>
      <x:c r="V60" s="16" t="n">
        <x:f>IF(AND(N60="已计入",I60="是",I$7&lt;&gt;""),($Q60+IF(COUNTIFS($F60:I60,"是")&lt;=$R60,1,0))/100,0)</x:f>
        <x:v>0</x:v>
      </x:c>
      <x:c r="W60" s="16" t="n">
        <x:f>IF(AND(N60="已计入",J60="是",J$7&lt;&gt;""),($Q60+IF(COUNTIFS($F60:J60,"是")&lt;=$R60,1,0))/100,0)</x:f>
        <x:v>0</x:v>
      </x:c>
      <x:c r="X60" s="16" t="n">
        <x:f>IF(AND(N60="已计入",K60="是",K$7&lt;&gt;""),($Q60+IF(COUNTIFS($F60:K60,"是")&lt;=$R60,1,0))/100,0)</x:f>
        <x:v>0</x:v>
      </x:c>
      <x:c r="Y60" s="16" t="n">
        <x:f>IF(AND(N60="已计入",L60="是",L$7&lt;&gt;""),($Q60+IF(COUNTIFS($F60:L60,"是")&lt;=$R60,1,0))/100,0)</x:f>
        <x:v>0</x:v>
      </x:c>
      <x:c r="Z60" s="16" t="n">
        <x:f>IF(AND(N60="已计入",M60="是",M$7&lt;&gt;""),($Q60+IF(COUNTIFS($F60:M60,"是")&lt;=$R60,1,0))/100,0)</x:f>
        <x:v>0</x:v>
      </x:c>
    </x:row>
    <x:row r="61" ht="26" customHeight="1">
      <x:c r="A61" s="2" t="n">
        <x:v>54</x:v>
      </x:c>
      <x:c r="B61" s="14"/>
      <x:c r="C61" s="5"/>
      <x:c r="D61" s="5"/>
      <x:c r="E61" s="15"/>
      <x:c r="F61" s="12"/>
      <x:c r="G61" s="12"/>
      <x:c r="H61" s="12"/>
      <x:c r="I61" s="12"/>
      <x:c r="J61" s="12"/>
      <x:c r="K61" s="12"/>
      <x:c r="L61" s="12"/>
      <x:c r="M61" s="12"/>
      <x:c r="N61" s="13" t="str">
        <x:f>IF(COUNTA(B61:M61)=0,"",IF('成员设置'!$B$18&lt;2,"先设置至少2位成员",IF(COUNTIFS('成员设置'!$C$9:$C$16,"可用")&lt;&gt;'成员设置'!$B$18,"先修正成员昵称",IF(C61="","填写费用项目",IF(D61="","选择付款人",IF(COUNTIFS('成员设置'!$B$9:$B$16,D61)&lt;&gt;1,"付款人不在成员中",IF(ISBLANK(E61),"填写金额",IF(NOT(ISNUMBER(E61)),"金额须为数字",IF(E61&lt;0,"金额不能小于0",IF(E61&lt;&gt;ROUND(E61,2),"金额最多两位小数",IF(COUNTIFS(F61:M61,"是")&lt;&gt;O61,"未设成员列不能选是",IF(COUNTA(F61:M61)&lt;&gt;COUNTIFS(F61:M61,"是")+COUNTIFS(F61:M61,"否"),"参与列只填是或否",IF(AND(E61&gt;0,O61=0),"至少1位参与者","已计入")))))))))))))</x:f>
      </x:c>
      <x:c r="O61" s="17" t="n">
        <x:f>SUMPRODUCT((F61:M61="是")*(F$7:M$7&lt;&gt;""))</x:f>
        <x:v>0</x:v>
      </x:c>
      <x:c r="P61" s="17" t="n">
        <x:f>IF(N61="已计入",ROUND(E61*100,0),0)</x:f>
        <x:v>0</x:v>
      </x:c>
      <x:c r="Q61" s="17" t="n">
        <x:f>IF(O61=0,0,INT(P61/O61))</x:f>
        <x:v>0</x:v>
      </x:c>
      <x:c r="R61" s="17" t="n">
        <x:f>IF(O61=0,0,MOD(P61,O61))</x:f>
        <x:v>0</x:v>
      </x:c>
      <x:c r="S61" s="16" t="n">
        <x:f>IF(AND(N61="已计入",F61="是",F$7&lt;&gt;""),($Q61+IF(COUNTIFS($F61:F61,"是")&lt;=$R61,1,0))/100,0)</x:f>
        <x:v>0</x:v>
      </x:c>
      <x:c r="T61" s="16" t="n">
        <x:f>IF(AND(N61="已计入",G61="是",G$7&lt;&gt;""),($Q61+IF(COUNTIFS($F61:G61,"是")&lt;=$R61,1,0))/100,0)</x:f>
        <x:v>0</x:v>
      </x:c>
      <x:c r="U61" s="16" t="n">
        <x:f>IF(AND(N61="已计入",H61="是",H$7&lt;&gt;""),($Q61+IF(COUNTIFS($F61:H61,"是")&lt;=$R61,1,0))/100,0)</x:f>
        <x:v>0</x:v>
      </x:c>
      <x:c r="V61" s="16" t="n">
        <x:f>IF(AND(N61="已计入",I61="是",I$7&lt;&gt;""),($Q61+IF(COUNTIFS($F61:I61,"是")&lt;=$R61,1,0))/100,0)</x:f>
        <x:v>0</x:v>
      </x:c>
      <x:c r="W61" s="16" t="n">
        <x:f>IF(AND(N61="已计入",J61="是",J$7&lt;&gt;""),($Q61+IF(COUNTIFS($F61:J61,"是")&lt;=$R61,1,0))/100,0)</x:f>
        <x:v>0</x:v>
      </x:c>
      <x:c r="X61" s="16" t="n">
        <x:f>IF(AND(N61="已计入",K61="是",K$7&lt;&gt;""),($Q61+IF(COUNTIFS($F61:K61,"是")&lt;=$R61,1,0))/100,0)</x:f>
        <x:v>0</x:v>
      </x:c>
      <x:c r="Y61" s="16" t="n">
        <x:f>IF(AND(N61="已计入",L61="是",L$7&lt;&gt;""),($Q61+IF(COUNTIFS($F61:L61,"是")&lt;=$R61,1,0))/100,0)</x:f>
        <x:v>0</x:v>
      </x:c>
      <x:c r="Z61" s="16" t="n">
        <x:f>IF(AND(N61="已计入",M61="是",M$7&lt;&gt;""),($Q61+IF(COUNTIFS($F61:M61,"是")&lt;=$R61,1,0))/100,0)</x:f>
        <x:v>0</x:v>
      </x:c>
    </x:row>
    <x:row r="62" ht="26" customHeight="1">
      <x:c r="A62" s="2" t="n">
        <x:v>55</x:v>
      </x:c>
      <x:c r="B62" s="14"/>
      <x:c r="C62" s="5"/>
      <x:c r="D62" s="5"/>
      <x:c r="E62" s="15"/>
      <x:c r="F62" s="12"/>
      <x:c r="G62" s="12"/>
      <x:c r="H62" s="12"/>
      <x:c r="I62" s="12"/>
      <x:c r="J62" s="12"/>
      <x:c r="K62" s="12"/>
      <x:c r="L62" s="12"/>
      <x:c r="M62" s="12"/>
      <x:c r="N62" s="13" t="str">
        <x:f>IF(COUNTA(B62:M62)=0,"",IF('成员设置'!$B$18&lt;2,"先设置至少2位成员",IF(COUNTIFS('成员设置'!$C$9:$C$16,"可用")&lt;&gt;'成员设置'!$B$18,"先修正成员昵称",IF(C62="","填写费用项目",IF(D62="","选择付款人",IF(COUNTIFS('成员设置'!$B$9:$B$16,D62)&lt;&gt;1,"付款人不在成员中",IF(ISBLANK(E62),"填写金额",IF(NOT(ISNUMBER(E62)),"金额须为数字",IF(E62&lt;0,"金额不能小于0",IF(E62&lt;&gt;ROUND(E62,2),"金额最多两位小数",IF(COUNTIFS(F62:M62,"是")&lt;&gt;O62,"未设成员列不能选是",IF(COUNTA(F62:M62)&lt;&gt;COUNTIFS(F62:M62,"是")+COUNTIFS(F62:M62,"否"),"参与列只填是或否",IF(AND(E62&gt;0,O62=0),"至少1位参与者","已计入")))))))))))))</x:f>
      </x:c>
      <x:c r="O62" s="17" t="n">
        <x:f>SUMPRODUCT((F62:M62="是")*(F$7:M$7&lt;&gt;""))</x:f>
        <x:v>0</x:v>
      </x:c>
      <x:c r="P62" s="17" t="n">
        <x:f>IF(N62="已计入",ROUND(E62*100,0),0)</x:f>
        <x:v>0</x:v>
      </x:c>
      <x:c r="Q62" s="17" t="n">
        <x:f>IF(O62=0,0,INT(P62/O62))</x:f>
        <x:v>0</x:v>
      </x:c>
      <x:c r="R62" s="17" t="n">
        <x:f>IF(O62=0,0,MOD(P62,O62))</x:f>
        <x:v>0</x:v>
      </x:c>
      <x:c r="S62" s="16" t="n">
        <x:f>IF(AND(N62="已计入",F62="是",F$7&lt;&gt;""),($Q62+IF(COUNTIFS($F62:F62,"是")&lt;=$R62,1,0))/100,0)</x:f>
        <x:v>0</x:v>
      </x:c>
      <x:c r="T62" s="16" t="n">
        <x:f>IF(AND(N62="已计入",G62="是",G$7&lt;&gt;""),($Q62+IF(COUNTIFS($F62:G62,"是")&lt;=$R62,1,0))/100,0)</x:f>
        <x:v>0</x:v>
      </x:c>
      <x:c r="U62" s="16" t="n">
        <x:f>IF(AND(N62="已计入",H62="是",H$7&lt;&gt;""),($Q62+IF(COUNTIFS($F62:H62,"是")&lt;=$R62,1,0))/100,0)</x:f>
        <x:v>0</x:v>
      </x:c>
      <x:c r="V62" s="16" t="n">
        <x:f>IF(AND(N62="已计入",I62="是",I$7&lt;&gt;""),($Q62+IF(COUNTIFS($F62:I62,"是")&lt;=$R62,1,0))/100,0)</x:f>
        <x:v>0</x:v>
      </x:c>
      <x:c r="W62" s="16" t="n">
        <x:f>IF(AND(N62="已计入",J62="是",J$7&lt;&gt;""),($Q62+IF(COUNTIFS($F62:J62,"是")&lt;=$R62,1,0))/100,0)</x:f>
        <x:v>0</x:v>
      </x:c>
      <x:c r="X62" s="16" t="n">
        <x:f>IF(AND(N62="已计入",K62="是",K$7&lt;&gt;""),($Q62+IF(COUNTIFS($F62:K62,"是")&lt;=$R62,1,0))/100,0)</x:f>
        <x:v>0</x:v>
      </x:c>
      <x:c r="Y62" s="16" t="n">
        <x:f>IF(AND(N62="已计入",L62="是",L$7&lt;&gt;""),($Q62+IF(COUNTIFS($F62:L62,"是")&lt;=$R62,1,0))/100,0)</x:f>
        <x:v>0</x:v>
      </x:c>
      <x:c r="Z62" s="16" t="n">
        <x:f>IF(AND(N62="已计入",M62="是",M$7&lt;&gt;""),($Q62+IF(COUNTIFS($F62:M62,"是")&lt;=$R62,1,0))/100,0)</x:f>
        <x:v>0</x:v>
      </x:c>
    </x:row>
    <x:row r="63" ht="26" customHeight="1">
      <x:c r="A63" s="2" t="n">
        <x:v>56</x:v>
      </x:c>
      <x:c r="B63" s="14"/>
      <x:c r="C63" s="5"/>
      <x:c r="D63" s="5"/>
      <x:c r="E63" s="15"/>
      <x:c r="F63" s="12"/>
      <x:c r="G63" s="12"/>
      <x:c r="H63" s="12"/>
      <x:c r="I63" s="12"/>
      <x:c r="J63" s="12"/>
      <x:c r="K63" s="12"/>
      <x:c r="L63" s="12"/>
      <x:c r="M63" s="12"/>
      <x:c r="N63" s="13" t="str">
        <x:f>IF(COUNTA(B63:M63)=0,"",IF('成员设置'!$B$18&lt;2,"先设置至少2位成员",IF(COUNTIFS('成员设置'!$C$9:$C$16,"可用")&lt;&gt;'成员设置'!$B$18,"先修正成员昵称",IF(C63="","填写费用项目",IF(D63="","选择付款人",IF(COUNTIFS('成员设置'!$B$9:$B$16,D63)&lt;&gt;1,"付款人不在成员中",IF(ISBLANK(E63),"填写金额",IF(NOT(ISNUMBER(E63)),"金额须为数字",IF(E63&lt;0,"金额不能小于0",IF(E63&lt;&gt;ROUND(E63,2),"金额最多两位小数",IF(COUNTIFS(F63:M63,"是")&lt;&gt;O63,"未设成员列不能选是",IF(COUNTA(F63:M63)&lt;&gt;COUNTIFS(F63:M63,"是")+COUNTIFS(F63:M63,"否"),"参与列只填是或否",IF(AND(E63&gt;0,O63=0),"至少1位参与者","已计入")))))))))))))</x:f>
      </x:c>
      <x:c r="O63" s="17" t="n">
        <x:f>SUMPRODUCT((F63:M63="是")*(F$7:M$7&lt;&gt;""))</x:f>
        <x:v>0</x:v>
      </x:c>
      <x:c r="P63" s="17" t="n">
        <x:f>IF(N63="已计入",ROUND(E63*100,0),0)</x:f>
        <x:v>0</x:v>
      </x:c>
      <x:c r="Q63" s="17" t="n">
        <x:f>IF(O63=0,0,INT(P63/O63))</x:f>
        <x:v>0</x:v>
      </x:c>
      <x:c r="R63" s="17" t="n">
        <x:f>IF(O63=0,0,MOD(P63,O63))</x:f>
        <x:v>0</x:v>
      </x:c>
      <x:c r="S63" s="16" t="n">
        <x:f>IF(AND(N63="已计入",F63="是",F$7&lt;&gt;""),($Q63+IF(COUNTIFS($F63:F63,"是")&lt;=$R63,1,0))/100,0)</x:f>
        <x:v>0</x:v>
      </x:c>
      <x:c r="T63" s="16" t="n">
        <x:f>IF(AND(N63="已计入",G63="是",G$7&lt;&gt;""),($Q63+IF(COUNTIFS($F63:G63,"是")&lt;=$R63,1,0))/100,0)</x:f>
        <x:v>0</x:v>
      </x:c>
      <x:c r="U63" s="16" t="n">
        <x:f>IF(AND(N63="已计入",H63="是",H$7&lt;&gt;""),($Q63+IF(COUNTIFS($F63:H63,"是")&lt;=$R63,1,0))/100,0)</x:f>
        <x:v>0</x:v>
      </x:c>
      <x:c r="V63" s="16" t="n">
        <x:f>IF(AND(N63="已计入",I63="是",I$7&lt;&gt;""),($Q63+IF(COUNTIFS($F63:I63,"是")&lt;=$R63,1,0))/100,0)</x:f>
        <x:v>0</x:v>
      </x:c>
      <x:c r="W63" s="16" t="n">
        <x:f>IF(AND(N63="已计入",J63="是",J$7&lt;&gt;""),($Q63+IF(COUNTIFS($F63:J63,"是")&lt;=$R63,1,0))/100,0)</x:f>
        <x:v>0</x:v>
      </x:c>
      <x:c r="X63" s="16" t="n">
        <x:f>IF(AND(N63="已计入",K63="是",K$7&lt;&gt;""),($Q63+IF(COUNTIFS($F63:K63,"是")&lt;=$R63,1,0))/100,0)</x:f>
        <x:v>0</x:v>
      </x:c>
      <x:c r="Y63" s="16" t="n">
        <x:f>IF(AND(N63="已计入",L63="是",L$7&lt;&gt;""),($Q63+IF(COUNTIFS($F63:L63,"是")&lt;=$R63,1,0))/100,0)</x:f>
        <x:v>0</x:v>
      </x:c>
      <x:c r="Z63" s="16" t="n">
        <x:f>IF(AND(N63="已计入",M63="是",M$7&lt;&gt;""),($Q63+IF(COUNTIFS($F63:M63,"是")&lt;=$R63,1,0))/100,0)</x:f>
        <x:v>0</x:v>
      </x:c>
    </x:row>
    <x:row r="64" ht="26" customHeight="1">
      <x:c r="A64" s="2" t="n">
        <x:v>57</x:v>
      </x:c>
      <x:c r="B64" s="14"/>
      <x:c r="C64" s="5"/>
      <x:c r="D64" s="5"/>
      <x:c r="E64" s="15"/>
      <x:c r="F64" s="12"/>
      <x:c r="G64" s="12"/>
      <x:c r="H64" s="12"/>
      <x:c r="I64" s="12"/>
      <x:c r="J64" s="12"/>
      <x:c r="K64" s="12"/>
      <x:c r="L64" s="12"/>
      <x:c r="M64" s="12"/>
      <x:c r="N64" s="13" t="str">
        <x:f>IF(COUNTA(B64:M64)=0,"",IF('成员设置'!$B$18&lt;2,"先设置至少2位成员",IF(COUNTIFS('成员设置'!$C$9:$C$16,"可用")&lt;&gt;'成员设置'!$B$18,"先修正成员昵称",IF(C64="","填写费用项目",IF(D64="","选择付款人",IF(COUNTIFS('成员设置'!$B$9:$B$16,D64)&lt;&gt;1,"付款人不在成员中",IF(ISBLANK(E64),"填写金额",IF(NOT(ISNUMBER(E64)),"金额须为数字",IF(E64&lt;0,"金额不能小于0",IF(E64&lt;&gt;ROUND(E64,2),"金额最多两位小数",IF(COUNTIFS(F64:M64,"是")&lt;&gt;O64,"未设成员列不能选是",IF(COUNTA(F64:M64)&lt;&gt;COUNTIFS(F64:M64,"是")+COUNTIFS(F64:M64,"否"),"参与列只填是或否",IF(AND(E64&gt;0,O64=0),"至少1位参与者","已计入")))))))))))))</x:f>
      </x:c>
      <x:c r="O64" s="17" t="n">
        <x:f>SUMPRODUCT((F64:M64="是")*(F$7:M$7&lt;&gt;""))</x:f>
        <x:v>0</x:v>
      </x:c>
      <x:c r="P64" s="17" t="n">
        <x:f>IF(N64="已计入",ROUND(E64*100,0),0)</x:f>
        <x:v>0</x:v>
      </x:c>
      <x:c r="Q64" s="17" t="n">
        <x:f>IF(O64=0,0,INT(P64/O64))</x:f>
        <x:v>0</x:v>
      </x:c>
      <x:c r="R64" s="17" t="n">
        <x:f>IF(O64=0,0,MOD(P64,O64))</x:f>
        <x:v>0</x:v>
      </x:c>
      <x:c r="S64" s="16" t="n">
        <x:f>IF(AND(N64="已计入",F64="是",F$7&lt;&gt;""),($Q64+IF(COUNTIFS($F64:F64,"是")&lt;=$R64,1,0))/100,0)</x:f>
        <x:v>0</x:v>
      </x:c>
      <x:c r="T64" s="16" t="n">
        <x:f>IF(AND(N64="已计入",G64="是",G$7&lt;&gt;""),($Q64+IF(COUNTIFS($F64:G64,"是")&lt;=$R64,1,0))/100,0)</x:f>
        <x:v>0</x:v>
      </x:c>
      <x:c r="U64" s="16" t="n">
        <x:f>IF(AND(N64="已计入",H64="是",H$7&lt;&gt;""),($Q64+IF(COUNTIFS($F64:H64,"是")&lt;=$R64,1,0))/100,0)</x:f>
        <x:v>0</x:v>
      </x:c>
      <x:c r="V64" s="16" t="n">
        <x:f>IF(AND(N64="已计入",I64="是",I$7&lt;&gt;""),($Q64+IF(COUNTIFS($F64:I64,"是")&lt;=$R64,1,0))/100,0)</x:f>
        <x:v>0</x:v>
      </x:c>
      <x:c r="W64" s="16" t="n">
        <x:f>IF(AND(N64="已计入",J64="是",J$7&lt;&gt;""),($Q64+IF(COUNTIFS($F64:J64,"是")&lt;=$R64,1,0))/100,0)</x:f>
        <x:v>0</x:v>
      </x:c>
      <x:c r="X64" s="16" t="n">
        <x:f>IF(AND(N64="已计入",K64="是",K$7&lt;&gt;""),($Q64+IF(COUNTIFS($F64:K64,"是")&lt;=$R64,1,0))/100,0)</x:f>
        <x:v>0</x:v>
      </x:c>
      <x:c r="Y64" s="16" t="n">
        <x:f>IF(AND(N64="已计入",L64="是",L$7&lt;&gt;""),($Q64+IF(COUNTIFS($F64:L64,"是")&lt;=$R64,1,0))/100,0)</x:f>
        <x:v>0</x:v>
      </x:c>
      <x:c r="Z64" s="16" t="n">
        <x:f>IF(AND(N64="已计入",M64="是",M$7&lt;&gt;""),($Q64+IF(COUNTIFS($F64:M64,"是")&lt;=$R64,1,0))/100,0)</x:f>
        <x:v>0</x:v>
      </x:c>
    </x:row>
    <x:row r="65" ht="26" customHeight="1">
      <x:c r="A65" s="2" t="n">
        <x:v>58</x:v>
      </x:c>
      <x:c r="B65" s="14"/>
      <x:c r="C65" s="5"/>
      <x:c r="D65" s="5"/>
      <x:c r="E65" s="15"/>
      <x:c r="F65" s="12"/>
      <x:c r="G65" s="12"/>
      <x:c r="H65" s="12"/>
      <x:c r="I65" s="12"/>
      <x:c r="J65" s="12"/>
      <x:c r="K65" s="12"/>
      <x:c r="L65" s="12"/>
      <x:c r="M65" s="12"/>
      <x:c r="N65" s="13" t="str">
        <x:f>IF(COUNTA(B65:M65)=0,"",IF('成员设置'!$B$18&lt;2,"先设置至少2位成员",IF(COUNTIFS('成员设置'!$C$9:$C$16,"可用")&lt;&gt;'成员设置'!$B$18,"先修正成员昵称",IF(C65="","填写费用项目",IF(D65="","选择付款人",IF(COUNTIFS('成员设置'!$B$9:$B$16,D65)&lt;&gt;1,"付款人不在成员中",IF(ISBLANK(E65),"填写金额",IF(NOT(ISNUMBER(E65)),"金额须为数字",IF(E65&lt;0,"金额不能小于0",IF(E65&lt;&gt;ROUND(E65,2),"金额最多两位小数",IF(COUNTIFS(F65:M65,"是")&lt;&gt;O65,"未设成员列不能选是",IF(COUNTA(F65:M65)&lt;&gt;COUNTIFS(F65:M65,"是")+COUNTIFS(F65:M65,"否"),"参与列只填是或否",IF(AND(E65&gt;0,O65=0),"至少1位参与者","已计入")))))))))))))</x:f>
      </x:c>
      <x:c r="O65" s="17" t="n">
        <x:f>SUMPRODUCT((F65:M65="是")*(F$7:M$7&lt;&gt;""))</x:f>
        <x:v>0</x:v>
      </x:c>
      <x:c r="P65" s="17" t="n">
        <x:f>IF(N65="已计入",ROUND(E65*100,0),0)</x:f>
        <x:v>0</x:v>
      </x:c>
      <x:c r="Q65" s="17" t="n">
        <x:f>IF(O65=0,0,INT(P65/O65))</x:f>
        <x:v>0</x:v>
      </x:c>
      <x:c r="R65" s="17" t="n">
        <x:f>IF(O65=0,0,MOD(P65,O65))</x:f>
        <x:v>0</x:v>
      </x:c>
      <x:c r="S65" s="16" t="n">
        <x:f>IF(AND(N65="已计入",F65="是",F$7&lt;&gt;""),($Q65+IF(COUNTIFS($F65:F65,"是")&lt;=$R65,1,0))/100,0)</x:f>
        <x:v>0</x:v>
      </x:c>
      <x:c r="T65" s="16" t="n">
        <x:f>IF(AND(N65="已计入",G65="是",G$7&lt;&gt;""),($Q65+IF(COUNTIFS($F65:G65,"是")&lt;=$R65,1,0))/100,0)</x:f>
        <x:v>0</x:v>
      </x:c>
      <x:c r="U65" s="16" t="n">
        <x:f>IF(AND(N65="已计入",H65="是",H$7&lt;&gt;""),($Q65+IF(COUNTIFS($F65:H65,"是")&lt;=$R65,1,0))/100,0)</x:f>
        <x:v>0</x:v>
      </x:c>
      <x:c r="V65" s="16" t="n">
        <x:f>IF(AND(N65="已计入",I65="是",I$7&lt;&gt;""),($Q65+IF(COUNTIFS($F65:I65,"是")&lt;=$R65,1,0))/100,0)</x:f>
        <x:v>0</x:v>
      </x:c>
      <x:c r="W65" s="16" t="n">
        <x:f>IF(AND(N65="已计入",J65="是",J$7&lt;&gt;""),($Q65+IF(COUNTIFS($F65:J65,"是")&lt;=$R65,1,0))/100,0)</x:f>
        <x:v>0</x:v>
      </x:c>
      <x:c r="X65" s="16" t="n">
        <x:f>IF(AND(N65="已计入",K65="是",K$7&lt;&gt;""),($Q65+IF(COUNTIFS($F65:K65,"是")&lt;=$R65,1,0))/100,0)</x:f>
        <x:v>0</x:v>
      </x:c>
      <x:c r="Y65" s="16" t="n">
        <x:f>IF(AND(N65="已计入",L65="是",L$7&lt;&gt;""),($Q65+IF(COUNTIFS($F65:L65,"是")&lt;=$R65,1,0))/100,0)</x:f>
        <x:v>0</x:v>
      </x:c>
      <x:c r="Z65" s="16" t="n">
        <x:f>IF(AND(N65="已计入",M65="是",M$7&lt;&gt;""),($Q65+IF(COUNTIFS($F65:M65,"是")&lt;=$R65,1,0))/100,0)</x:f>
        <x:v>0</x:v>
      </x:c>
    </x:row>
    <x:row r="66" ht="26" customHeight="1">
      <x:c r="A66" s="2" t="n">
        <x:v>59</x:v>
      </x:c>
      <x:c r="B66" s="14"/>
      <x:c r="C66" s="5"/>
      <x:c r="D66" s="5"/>
      <x:c r="E66" s="15"/>
      <x:c r="F66" s="12"/>
      <x:c r="G66" s="12"/>
      <x:c r="H66" s="12"/>
      <x:c r="I66" s="12"/>
      <x:c r="J66" s="12"/>
      <x:c r="K66" s="12"/>
      <x:c r="L66" s="12"/>
      <x:c r="M66" s="12"/>
      <x:c r="N66" s="13" t="str">
        <x:f>IF(COUNTA(B66:M66)=0,"",IF('成员设置'!$B$18&lt;2,"先设置至少2位成员",IF(COUNTIFS('成员设置'!$C$9:$C$16,"可用")&lt;&gt;'成员设置'!$B$18,"先修正成员昵称",IF(C66="","填写费用项目",IF(D66="","选择付款人",IF(COUNTIFS('成员设置'!$B$9:$B$16,D66)&lt;&gt;1,"付款人不在成员中",IF(ISBLANK(E66),"填写金额",IF(NOT(ISNUMBER(E66)),"金额须为数字",IF(E66&lt;0,"金额不能小于0",IF(E66&lt;&gt;ROUND(E66,2),"金额最多两位小数",IF(COUNTIFS(F66:M66,"是")&lt;&gt;O66,"未设成员列不能选是",IF(COUNTA(F66:M66)&lt;&gt;COUNTIFS(F66:M66,"是")+COUNTIFS(F66:M66,"否"),"参与列只填是或否",IF(AND(E66&gt;0,O66=0),"至少1位参与者","已计入")))))))))))))</x:f>
      </x:c>
      <x:c r="O66" s="17" t="n">
        <x:f>SUMPRODUCT((F66:M66="是")*(F$7:M$7&lt;&gt;""))</x:f>
        <x:v>0</x:v>
      </x:c>
      <x:c r="P66" s="17" t="n">
        <x:f>IF(N66="已计入",ROUND(E66*100,0),0)</x:f>
        <x:v>0</x:v>
      </x:c>
      <x:c r="Q66" s="17" t="n">
        <x:f>IF(O66=0,0,INT(P66/O66))</x:f>
        <x:v>0</x:v>
      </x:c>
      <x:c r="R66" s="17" t="n">
        <x:f>IF(O66=0,0,MOD(P66,O66))</x:f>
        <x:v>0</x:v>
      </x:c>
      <x:c r="S66" s="16" t="n">
        <x:f>IF(AND(N66="已计入",F66="是",F$7&lt;&gt;""),($Q66+IF(COUNTIFS($F66:F66,"是")&lt;=$R66,1,0))/100,0)</x:f>
        <x:v>0</x:v>
      </x:c>
      <x:c r="T66" s="16" t="n">
        <x:f>IF(AND(N66="已计入",G66="是",G$7&lt;&gt;""),($Q66+IF(COUNTIFS($F66:G66,"是")&lt;=$R66,1,0))/100,0)</x:f>
        <x:v>0</x:v>
      </x:c>
      <x:c r="U66" s="16" t="n">
        <x:f>IF(AND(N66="已计入",H66="是",H$7&lt;&gt;""),($Q66+IF(COUNTIFS($F66:H66,"是")&lt;=$R66,1,0))/100,0)</x:f>
        <x:v>0</x:v>
      </x:c>
      <x:c r="V66" s="16" t="n">
        <x:f>IF(AND(N66="已计入",I66="是",I$7&lt;&gt;""),($Q66+IF(COUNTIFS($F66:I66,"是")&lt;=$R66,1,0))/100,0)</x:f>
        <x:v>0</x:v>
      </x:c>
      <x:c r="W66" s="16" t="n">
        <x:f>IF(AND(N66="已计入",J66="是",J$7&lt;&gt;""),($Q66+IF(COUNTIFS($F66:J66,"是")&lt;=$R66,1,0))/100,0)</x:f>
        <x:v>0</x:v>
      </x:c>
      <x:c r="X66" s="16" t="n">
        <x:f>IF(AND(N66="已计入",K66="是",K$7&lt;&gt;""),($Q66+IF(COUNTIFS($F66:K66,"是")&lt;=$R66,1,0))/100,0)</x:f>
        <x:v>0</x:v>
      </x:c>
      <x:c r="Y66" s="16" t="n">
        <x:f>IF(AND(N66="已计入",L66="是",L$7&lt;&gt;""),($Q66+IF(COUNTIFS($F66:L66,"是")&lt;=$R66,1,0))/100,0)</x:f>
        <x:v>0</x:v>
      </x:c>
      <x:c r="Z66" s="16" t="n">
        <x:f>IF(AND(N66="已计入",M66="是",M$7&lt;&gt;""),($Q66+IF(COUNTIFS($F66:M66,"是")&lt;=$R66,1,0))/100,0)</x:f>
        <x:v>0</x:v>
      </x:c>
    </x:row>
    <x:row r="67" ht="26" customHeight="1">
      <x:c r="A67" s="2" t="n">
        <x:v>60</x:v>
      </x:c>
      <x:c r="B67" s="14"/>
      <x:c r="C67" s="5"/>
      <x:c r="D67" s="5"/>
      <x:c r="E67" s="15"/>
      <x:c r="F67" s="12"/>
      <x:c r="G67" s="12"/>
      <x:c r="H67" s="12"/>
      <x:c r="I67" s="12"/>
      <x:c r="J67" s="12"/>
      <x:c r="K67" s="12"/>
      <x:c r="L67" s="12"/>
      <x:c r="M67" s="12"/>
      <x:c r="N67" s="13" t="str">
        <x:f>IF(COUNTA(B67:M67)=0,"",IF('成员设置'!$B$18&lt;2,"先设置至少2位成员",IF(COUNTIFS('成员设置'!$C$9:$C$16,"可用")&lt;&gt;'成员设置'!$B$18,"先修正成员昵称",IF(C67="","填写费用项目",IF(D67="","选择付款人",IF(COUNTIFS('成员设置'!$B$9:$B$16,D67)&lt;&gt;1,"付款人不在成员中",IF(ISBLANK(E67),"填写金额",IF(NOT(ISNUMBER(E67)),"金额须为数字",IF(E67&lt;0,"金额不能小于0",IF(E67&lt;&gt;ROUND(E67,2),"金额最多两位小数",IF(COUNTIFS(F67:M67,"是")&lt;&gt;O67,"未设成员列不能选是",IF(COUNTA(F67:M67)&lt;&gt;COUNTIFS(F67:M67,"是")+COUNTIFS(F67:M67,"否"),"参与列只填是或否",IF(AND(E67&gt;0,O67=0),"至少1位参与者","已计入")))))))))))))</x:f>
      </x:c>
      <x:c r="O67" s="17" t="n">
        <x:f>SUMPRODUCT((F67:M67="是")*(F$7:M$7&lt;&gt;""))</x:f>
        <x:v>0</x:v>
      </x:c>
      <x:c r="P67" s="17" t="n">
        <x:f>IF(N67="已计入",ROUND(E67*100,0),0)</x:f>
        <x:v>0</x:v>
      </x:c>
      <x:c r="Q67" s="17" t="n">
        <x:f>IF(O67=0,0,INT(P67/O67))</x:f>
        <x:v>0</x:v>
      </x:c>
      <x:c r="R67" s="17" t="n">
        <x:f>IF(O67=0,0,MOD(P67,O67))</x:f>
        <x:v>0</x:v>
      </x:c>
      <x:c r="S67" s="16" t="n">
        <x:f>IF(AND(N67="已计入",F67="是",F$7&lt;&gt;""),($Q67+IF(COUNTIFS($F67:F67,"是")&lt;=$R67,1,0))/100,0)</x:f>
        <x:v>0</x:v>
      </x:c>
      <x:c r="T67" s="16" t="n">
        <x:f>IF(AND(N67="已计入",G67="是",G$7&lt;&gt;""),($Q67+IF(COUNTIFS($F67:G67,"是")&lt;=$R67,1,0))/100,0)</x:f>
        <x:v>0</x:v>
      </x:c>
      <x:c r="U67" s="16" t="n">
        <x:f>IF(AND(N67="已计入",H67="是",H$7&lt;&gt;""),($Q67+IF(COUNTIFS($F67:H67,"是")&lt;=$R67,1,0))/100,0)</x:f>
        <x:v>0</x:v>
      </x:c>
      <x:c r="V67" s="16" t="n">
        <x:f>IF(AND(N67="已计入",I67="是",I$7&lt;&gt;""),($Q67+IF(COUNTIFS($F67:I67,"是")&lt;=$R67,1,0))/100,0)</x:f>
        <x:v>0</x:v>
      </x:c>
      <x:c r="W67" s="16" t="n">
        <x:f>IF(AND(N67="已计入",J67="是",J$7&lt;&gt;""),($Q67+IF(COUNTIFS($F67:J67,"是")&lt;=$R67,1,0))/100,0)</x:f>
        <x:v>0</x:v>
      </x:c>
      <x:c r="X67" s="16" t="n">
        <x:f>IF(AND(N67="已计入",K67="是",K$7&lt;&gt;""),($Q67+IF(COUNTIFS($F67:K67,"是")&lt;=$R67,1,0))/100,0)</x:f>
        <x:v>0</x:v>
      </x:c>
      <x:c r="Y67" s="16" t="n">
        <x:f>IF(AND(N67="已计入",L67="是",L$7&lt;&gt;""),($Q67+IF(COUNTIFS($F67:L67,"是")&lt;=$R67,1,0))/100,0)</x:f>
        <x:v>0</x:v>
      </x:c>
      <x:c r="Z67" s="16" t="n">
        <x:f>IF(AND(N67="已计入",M67="是",M$7&lt;&gt;""),($Q67+IF(COUNTIFS($F67:M67,"是")&lt;=$R67,1,0))/100,0)</x:f>
        <x:v>0</x:v>
      </x:c>
    </x:row>
    <x:row r="68" ht="26" customHeight="1">
      <x:c r="A68" s="2" t="n">
        <x:v>61</x:v>
      </x:c>
      <x:c r="B68" s="14"/>
      <x:c r="C68" s="5"/>
      <x:c r="D68" s="5"/>
      <x:c r="E68" s="15"/>
      <x:c r="F68" s="12"/>
      <x:c r="G68" s="12"/>
      <x:c r="H68" s="12"/>
      <x:c r="I68" s="12"/>
      <x:c r="J68" s="12"/>
      <x:c r="K68" s="12"/>
      <x:c r="L68" s="12"/>
      <x:c r="M68" s="12"/>
      <x:c r="N68" s="13" t="str">
        <x:f>IF(COUNTA(B68:M68)=0,"",IF('成员设置'!$B$18&lt;2,"先设置至少2位成员",IF(COUNTIFS('成员设置'!$C$9:$C$16,"可用")&lt;&gt;'成员设置'!$B$18,"先修正成员昵称",IF(C68="","填写费用项目",IF(D68="","选择付款人",IF(COUNTIFS('成员设置'!$B$9:$B$16,D68)&lt;&gt;1,"付款人不在成员中",IF(ISBLANK(E68),"填写金额",IF(NOT(ISNUMBER(E68)),"金额须为数字",IF(E68&lt;0,"金额不能小于0",IF(E68&lt;&gt;ROUND(E68,2),"金额最多两位小数",IF(COUNTIFS(F68:M68,"是")&lt;&gt;O68,"未设成员列不能选是",IF(COUNTA(F68:M68)&lt;&gt;COUNTIFS(F68:M68,"是")+COUNTIFS(F68:M68,"否"),"参与列只填是或否",IF(AND(E68&gt;0,O68=0),"至少1位参与者","已计入")))))))))))))</x:f>
      </x:c>
      <x:c r="O68" s="17" t="n">
        <x:f>SUMPRODUCT((F68:M68="是")*(F$7:M$7&lt;&gt;""))</x:f>
        <x:v>0</x:v>
      </x:c>
      <x:c r="P68" s="17" t="n">
        <x:f>IF(N68="已计入",ROUND(E68*100,0),0)</x:f>
        <x:v>0</x:v>
      </x:c>
      <x:c r="Q68" s="17" t="n">
        <x:f>IF(O68=0,0,INT(P68/O68))</x:f>
        <x:v>0</x:v>
      </x:c>
      <x:c r="R68" s="17" t="n">
        <x:f>IF(O68=0,0,MOD(P68,O68))</x:f>
        <x:v>0</x:v>
      </x:c>
      <x:c r="S68" s="16" t="n">
        <x:f>IF(AND(N68="已计入",F68="是",F$7&lt;&gt;""),($Q68+IF(COUNTIFS($F68:F68,"是")&lt;=$R68,1,0))/100,0)</x:f>
        <x:v>0</x:v>
      </x:c>
      <x:c r="T68" s="16" t="n">
        <x:f>IF(AND(N68="已计入",G68="是",G$7&lt;&gt;""),($Q68+IF(COUNTIFS($F68:G68,"是")&lt;=$R68,1,0))/100,0)</x:f>
        <x:v>0</x:v>
      </x:c>
      <x:c r="U68" s="16" t="n">
        <x:f>IF(AND(N68="已计入",H68="是",H$7&lt;&gt;""),($Q68+IF(COUNTIFS($F68:H68,"是")&lt;=$R68,1,0))/100,0)</x:f>
        <x:v>0</x:v>
      </x:c>
      <x:c r="V68" s="16" t="n">
        <x:f>IF(AND(N68="已计入",I68="是",I$7&lt;&gt;""),($Q68+IF(COUNTIFS($F68:I68,"是")&lt;=$R68,1,0))/100,0)</x:f>
        <x:v>0</x:v>
      </x:c>
      <x:c r="W68" s="16" t="n">
        <x:f>IF(AND(N68="已计入",J68="是",J$7&lt;&gt;""),($Q68+IF(COUNTIFS($F68:J68,"是")&lt;=$R68,1,0))/100,0)</x:f>
        <x:v>0</x:v>
      </x:c>
      <x:c r="X68" s="16" t="n">
        <x:f>IF(AND(N68="已计入",K68="是",K$7&lt;&gt;""),($Q68+IF(COUNTIFS($F68:K68,"是")&lt;=$R68,1,0))/100,0)</x:f>
        <x:v>0</x:v>
      </x:c>
      <x:c r="Y68" s="16" t="n">
        <x:f>IF(AND(N68="已计入",L68="是",L$7&lt;&gt;""),($Q68+IF(COUNTIFS($F68:L68,"是")&lt;=$R68,1,0))/100,0)</x:f>
        <x:v>0</x:v>
      </x:c>
      <x:c r="Z68" s="16" t="n">
        <x:f>IF(AND(N68="已计入",M68="是",M$7&lt;&gt;""),($Q68+IF(COUNTIFS($F68:M68,"是")&lt;=$R68,1,0))/100,0)</x:f>
        <x:v>0</x:v>
      </x:c>
    </x:row>
    <x:row r="69" ht="26" customHeight="1">
      <x:c r="A69" s="2" t="n">
        <x:v>62</x:v>
      </x:c>
      <x:c r="B69" s="14"/>
      <x:c r="C69" s="5"/>
      <x:c r="D69" s="5"/>
      <x:c r="E69" s="15"/>
      <x:c r="F69" s="12"/>
      <x:c r="G69" s="12"/>
      <x:c r="H69" s="12"/>
      <x:c r="I69" s="12"/>
      <x:c r="J69" s="12"/>
      <x:c r="K69" s="12"/>
      <x:c r="L69" s="12"/>
      <x:c r="M69" s="12"/>
      <x:c r="N69" s="13" t="str">
        <x:f>IF(COUNTA(B69:M69)=0,"",IF('成员设置'!$B$18&lt;2,"先设置至少2位成员",IF(COUNTIFS('成员设置'!$C$9:$C$16,"可用")&lt;&gt;'成员设置'!$B$18,"先修正成员昵称",IF(C69="","填写费用项目",IF(D69="","选择付款人",IF(COUNTIFS('成员设置'!$B$9:$B$16,D69)&lt;&gt;1,"付款人不在成员中",IF(ISBLANK(E69),"填写金额",IF(NOT(ISNUMBER(E69)),"金额须为数字",IF(E69&lt;0,"金额不能小于0",IF(E69&lt;&gt;ROUND(E69,2),"金额最多两位小数",IF(COUNTIFS(F69:M69,"是")&lt;&gt;O69,"未设成员列不能选是",IF(COUNTA(F69:M69)&lt;&gt;COUNTIFS(F69:M69,"是")+COUNTIFS(F69:M69,"否"),"参与列只填是或否",IF(AND(E69&gt;0,O69=0),"至少1位参与者","已计入")))))))))))))</x:f>
      </x:c>
      <x:c r="O69" s="17" t="n">
        <x:f>SUMPRODUCT((F69:M69="是")*(F$7:M$7&lt;&gt;""))</x:f>
        <x:v>0</x:v>
      </x:c>
      <x:c r="P69" s="17" t="n">
        <x:f>IF(N69="已计入",ROUND(E69*100,0),0)</x:f>
        <x:v>0</x:v>
      </x:c>
      <x:c r="Q69" s="17" t="n">
        <x:f>IF(O69=0,0,INT(P69/O69))</x:f>
        <x:v>0</x:v>
      </x:c>
      <x:c r="R69" s="17" t="n">
        <x:f>IF(O69=0,0,MOD(P69,O69))</x:f>
        <x:v>0</x:v>
      </x:c>
      <x:c r="S69" s="16" t="n">
        <x:f>IF(AND(N69="已计入",F69="是",F$7&lt;&gt;""),($Q69+IF(COUNTIFS($F69:F69,"是")&lt;=$R69,1,0))/100,0)</x:f>
        <x:v>0</x:v>
      </x:c>
      <x:c r="T69" s="16" t="n">
        <x:f>IF(AND(N69="已计入",G69="是",G$7&lt;&gt;""),($Q69+IF(COUNTIFS($F69:G69,"是")&lt;=$R69,1,0))/100,0)</x:f>
        <x:v>0</x:v>
      </x:c>
      <x:c r="U69" s="16" t="n">
        <x:f>IF(AND(N69="已计入",H69="是",H$7&lt;&gt;""),($Q69+IF(COUNTIFS($F69:H69,"是")&lt;=$R69,1,0))/100,0)</x:f>
        <x:v>0</x:v>
      </x:c>
      <x:c r="V69" s="16" t="n">
        <x:f>IF(AND(N69="已计入",I69="是",I$7&lt;&gt;""),($Q69+IF(COUNTIFS($F69:I69,"是")&lt;=$R69,1,0))/100,0)</x:f>
        <x:v>0</x:v>
      </x:c>
      <x:c r="W69" s="16" t="n">
        <x:f>IF(AND(N69="已计入",J69="是",J$7&lt;&gt;""),($Q69+IF(COUNTIFS($F69:J69,"是")&lt;=$R69,1,0))/100,0)</x:f>
        <x:v>0</x:v>
      </x:c>
      <x:c r="X69" s="16" t="n">
        <x:f>IF(AND(N69="已计入",K69="是",K$7&lt;&gt;""),($Q69+IF(COUNTIFS($F69:K69,"是")&lt;=$R69,1,0))/100,0)</x:f>
        <x:v>0</x:v>
      </x:c>
      <x:c r="Y69" s="16" t="n">
        <x:f>IF(AND(N69="已计入",L69="是",L$7&lt;&gt;""),($Q69+IF(COUNTIFS($F69:L69,"是")&lt;=$R69,1,0))/100,0)</x:f>
        <x:v>0</x:v>
      </x:c>
      <x:c r="Z69" s="16" t="n">
        <x:f>IF(AND(N69="已计入",M69="是",M$7&lt;&gt;""),($Q69+IF(COUNTIFS($F69:M69,"是")&lt;=$R69,1,0))/100,0)</x:f>
        <x:v>0</x:v>
      </x:c>
    </x:row>
    <x:row r="70" ht="26" customHeight="1">
      <x:c r="A70" s="2" t="n">
        <x:v>63</x:v>
      </x:c>
      <x:c r="B70" s="14"/>
      <x:c r="C70" s="5"/>
      <x:c r="D70" s="5"/>
      <x:c r="E70" s="15"/>
      <x:c r="F70" s="12"/>
      <x:c r="G70" s="12"/>
      <x:c r="H70" s="12"/>
      <x:c r="I70" s="12"/>
      <x:c r="J70" s="12"/>
      <x:c r="K70" s="12"/>
      <x:c r="L70" s="12"/>
      <x:c r="M70" s="12"/>
      <x:c r="N70" s="13" t="str">
        <x:f>IF(COUNTA(B70:M70)=0,"",IF('成员设置'!$B$18&lt;2,"先设置至少2位成员",IF(COUNTIFS('成员设置'!$C$9:$C$16,"可用")&lt;&gt;'成员设置'!$B$18,"先修正成员昵称",IF(C70="","填写费用项目",IF(D70="","选择付款人",IF(COUNTIFS('成员设置'!$B$9:$B$16,D70)&lt;&gt;1,"付款人不在成员中",IF(ISBLANK(E70),"填写金额",IF(NOT(ISNUMBER(E70)),"金额须为数字",IF(E70&lt;0,"金额不能小于0",IF(E70&lt;&gt;ROUND(E70,2),"金额最多两位小数",IF(COUNTIFS(F70:M70,"是")&lt;&gt;O70,"未设成员列不能选是",IF(COUNTA(F70:M70)&lt;&gt;COUNTIFS(F70:M70,"是")+COUNTIFS(F70:M70,"否"),"参与列只填是或否",IF(AND(E70&gt;0,O70=0),"至少1位参与者","已计入")))))))))))))</x:f>
      </x:c>
      <x:c r="O70" s="17" t="n">
        <x:f>SUMPRODUCT((F70:M70="是")*(F$7:M$7&lt;&gt;""))</x:f>
        <x:v>0</x:v>
      </x:c>
      <x:c r="P70" s="17" t="n">
        <x:f>IF(N70="已计入",ROUND(E70*100,0),0)</x:f>
        <x:v>0</x:v>
      </x:c>
      <x:c r="Q70" s="17" t="n">
        <x:f>IF(O70=0,0,INT(P70/O70))</x:f>
        <x:v>0</x:v>
      </x:c>
      <x:c r="R70" s="17" t="n">
        <x:f>IF(O70=0,0,MOD(P70,O70))</x:f>
        <x:v>0</x:v>
      </x:c>
      <x:c r="S70" s="16" t="n">
        <x:f>IF(AND(N70="已计入",F70="是",F$7&lt;&gt;""),($Q70+IF(COUNTIFS($F70:F70,"是")&lt;=$R70,1,0))/100,0)</x:f>
        <x:v>0</x:v>
      </x:c>
      <x:c r="T70" s="16" t="n">
        <x:f>IF(AND(N70="已计入",G70="是",G$7&lt;&gt;""),($Q70+IF(COUNTIFS($F70:G70,"是")&lt;=$R70,1,0))/100,0)</x:f>
        <x:v>0</x:v>
      </x:c>
      <x:c r="U70" s="16" t="n">
        <x:f>IF(AND(N70="已计入",H70="是",H$7&lt;&gt;""),($Q70+IF(COUNTIFS($F70:H70,"是")&lt;=$R70,1,0))/100,0)</x:f>
        <x:v>0</x:v>
      </x:c>
      <x:c r="V70" s="16" t="n">
        <x:f>IF(AND(N70="已计入",I70="是",I$7&lt;&gt;""),($Q70+IF(COUNTIFS($F70:I70,"是")&lt;=$R70,1,0))/100,0)</x:f>
        <x:v>0</x:v>
      </x:c>
      <x:c r="W70" s="16" t="n">
        <x:f>IF(AND(N70="已计入",J70="是",J$7&lt;&gt;""),($Q70+IF(COUNTIFS($F70:J70,"是")&lt;=$R70,1,0))/100,0)</x:f>
        <x:v>0</x:v>
      </x:c>
      <x:c r="X70" s="16" t="n">
        <x:f>IF(AND(N70="已计入",K70="是",K$7&lt;&gt;""),($Q70+IF(COUNTIFS($F70:K70,"是")&lt;=$R70,1,0))/100,0)</x:f>
        <x:v>0</x:v>
      </x:c>
      <x:c r="Y70" s="16" t="n">
        <x:f>IF(AND(N70="已计入",L70="是",L$7&lt;&gt;""),($Q70+IF(COUNTIFS($F70:L70,"是")&lt;=$R70,1,0))/100,0)</x:f>
        <x:v>0</x:v>
      </x:c>
      <x:c r="Z70" s="16" t="n">
        <x:f>IF(AND(N70="已计入",M70="是",M$7&lt;&gt;""),($Q70+IF(COUNTIFS($F70:M70,"是")&lt;=$R70,1,0))/100,0)</x:f>
        <x:v>0</x:v>
      </x:c>
    </x:row>
    <x:row r="71" ht="26" customHeight="1">
      <x:c r="A71" s="2" t="n">
        <x:v>64</x:v>
      </x:c>
      <x:c r="B71" s="14"/>
      <x:c r="C71" s="5"/>
      <x:c r="D71" s="5"/>
      <x:c r="E71" s="15"/>
      <x:c r="F71" s="12"/>
      <x:c r="G71" s="12"/>
      <x:c r="H71" s="12"/>
      <x:c r="I71" s="12"/>
      <x:c r="J71" s="12"/>
      <x:c r="K71" s="12"/>
      <x:c r="L71" s="12"/>
      <x:c r="M71" s="12"/>
      <x:c r="N71" s="13" t="str">
        <x:f>IF(COUNTA(B71:M71)=0,"",IF('成员设置'!$B$18&lt;2,"先设置至少2位成员",IF(COUNTIFS('成员设置'!$C$9:$C$16,"可用")&lt;&gt;'成员设置'!$B$18,"先修正成员昵称",IF(C71="","填写费用项目",IF(D71="","选择付款人",IF(COUNTIFS('成员设置'!$B$9:$B$16,D71)&lt;&gt;1,"付款人不在成员中",IF(ISBLANK(E71),"填写金额",IF(NOT(ISNUMBER(E71)),"金额须为数字",IF(E71&lt;0,"金额不能小于0",IF(E71&lt;&gt;ROUND(E71,2),"金额最多两位小数",IF(COUNTIFS(F71:M71,"是")&lt;&gt;O71,"未设成员列不能选是",IF(COUNTA(F71:M71)&lt;&gt;COUNTIFS(F71:M71,"是")+COUNTIFS(F71:M71,"否"),"参与列只填是或否",IF(AND(E71&gt;0,O71=0),"至少1位参与者","已计入")))))))))))))</x:f>
      </x:c>
      <x:c r="O71" s="17" t="n">
        <x:f>SUMPRODUCT((F71:M71="是")*(F$7:M$7&lt;&gt;""))</x:f>
        <x:v>0</x:v>
      </x:c>
      <x:c r="P71" s="17" t="n">
        <x:f>IF(N71="已计入",ROUND(E71*100,0),0)</x:f>
        <x:v>0</x:v>
      </x:c>
      <x:c r="Q71" s="17" t="n">
        <x:f>IF(O71=0,0,INT(P71/O71))</x:f>
        <x:v>0</x:v>
      </x:c>
      <x:c r="R71" s="17" t="n">
        <x:f>IF(O71=0,0,MOD(P71,O71))</x:f>
        <x:v>0</x:v>
      </x:c>
      <x:c r="S71" s="16" t="n">
        <x:f>IF(AND(N71="已计入",F71="是",F$7&lt;&gt;""),($Q71+IF(COUNTIFS($F71:F71,"是")&lt;=$R71,1,0))/100,0)</x:f>
        <x:v>0</x:v>
      </x:c>
      <x:c r="T71" s="16" t="n">
        <x:f>IF(AND(N71="已计入",G71="是",G$7&lt;&gt;""),($Q71+IF(COUNTIFS($F71:G71,"是")&lt;=$R71,1,0))/100,0)</x:f>
        <x:v>0</x:v>
      </x:c>
      <x:c r="U71" s="16" t="n">
        <x:f>IF(AND(N71="已计入",H71="是",H$7&lt;&gt;""),($Q71+IF(COUNTIFS($F71:H71,"是")&lt;=$R71,1,0))/100,0)</x:f>
        <x:v>0</x:v>
      </x:c>
      <x:c r="V71" s="16" t="n">
        <x:f>IF(AND(N71="已计入",I71="是",I$7&lt;&gt;""),($Q71+IF(COUNTIFS($F71:I71,"是")&lt;=$R71,1,0))/100,0)</x:f>
        <x:v>0</x:v>
      </x:c>
      <x:c r="W71" s="16" t="n">
        <x:f>IF(AND(N71="已计入",J71="是",J$7&lt;&gt;""),($Q71+IF(COUNTIFS($F71:J71,"是")&lt;=$R71,1,0))/100,0)</x:f>
        <x:v>0</x:v>
      </x:c>
      <x:c r="X71" s="16" t="n">
        <x:f>IF(AND(N71="已计入",K71="是",K$7&lt;&gt;""),($Q71+IF(COUNTIFS($F71:K71,"是")&lt;=$R71,1,0))/100,0)</x:f>
        <x:v>0</x:v>
      </x:c>
      <x:c r="Y71" s="16" t="n">
        <x:f>IF(AND(N71="已计入",L71="是",L$7&lt;&gt;""),($Q71+IF(COUNTIFS($F71:L71,"是")&lt;=$R71,1,0))/100,0)</x:f>
        <x:v>0</x:v>
      </x:c>
      <x:c r="Z71" s="16" t="n">
        <x:f>IF(AND(N71="已计入",M71="是",M$7&lt;&gt;""),($Q71+IF(COUNTIFS($F71:M71,"是")&lt;=$R71,1,0))/100,0)</x:f>
        <x:v>0</x:v>
      </x:c>
    </x:row>
    <x:row r="72" ht="26" customHeight="1">
      <x:c r="A72" s="2" t="n">
        <x:v>65</x:v>
      </x:c>
      <x:c r="B72" s="14"/>
      <x:c r="C72" s="5"/>
      <x:c r="D72" s="5"/>
      <x:c r="E72" s="15"/>
      <x:c r="F72" s="12"/>
      <x:c r="G72" s="12"/>
      <x:c r="H72" s="12"/>
      <x:c r="I72" s="12"/>
      <x:c r="J72" s="12"/>
      <x:c r="K72" s="12"/>
      <x:c r="L72" s="12"/>
      <x:c r="M72" s="12"/>
      <x:c r="N72" s="13" t="str">
        <x:f>IF(COUNTA(B72:M72)=0,"",IF('成员设置'!$B$18&lt;2,"先设置至少2位成员",IF(COUNTIFS('成员设置'!$C$9:$C$16,"可用")&lt;&gt;'成员设置'!$B$18,"先修正成员昵称",IF(C72="","填写费用项目",IF(D72="","选择付款人",IF(COUNTIFS('成员设置'!$B$9:$B$16,D72)&lt;&gt;1,"付款人不在成员中",IF(ISBLANK(E72),"填写金额",IF(NOT(ISNUMBER(E72)),"金额须为数字",IF(E72&lt;0,"金额不能小于0",IF(E72&lt;&gt;ROUND(E72,2),"金额最多两位小数",IF(COUNTIFS(F72:M72,"是")&lt;&gt;O72,"未设成员列不能选是",IF(COUNTA(F72:M72)&lt;&gt;COUNTIFS(F72:M72,"是")+COUNTIFS(F72:M72,"否"),"参与列只填是或否",IF(AND(E72&gt;0,O72=0),"至少1位参与者","已计入")))))))))))))</x:f>
      </x:c>
      <x:c r="O72" s="17" t="n">
        <x:f>SUMPRODUCT((F72:M72="是")*(F$7:M$7&lt;&gt;""))</x:f>
        <x:v>0</x:v>
      </x:c>
      <x:c r="P72" s="17" t="n">
        <x:f>IF(N72="已计入",ROUND(E72*100,0),0)</x:f>
        <x:v>0</x:v>
      </x:c>
      <x:c r="Q72" s="17" t="n">
        <x:f>IF(O72=0,0,INT(P72/O72))</x:f>
        <x:v>0</x:v>
      </x:c>
      <x:c r="R72" s="17" t="n">
        <x:f>IF(O72=0,0,MOD(P72,O72))</x:f>
        <x:v>0</x:v>
      </x:c>
      <x:c r="S72" s="16" t="n">
        <x:f>IF(AND(N72="已计入",F72="是",F$7&lt;&gt;""),($Q72+IF(COUNTIFS($F72:F72,"是")&lt;=$R72,1,0))/100,0)</x:f>
        <x:v>0</x:v>
      </x:c>
      <x:c r="T72" s="16" t="n">
        <x:f>IF(AND(N72="已计入",G72="是",G$7&lt;&gt;""),($Q72+IF(COUNTIFS($F72:G72,"是")&lt;=$R72,1,0))/100,0)</x:f>
        <x:v>0</x:v>
      </x:c>
      <x:c r="U72" s="16" t="n">
        <x:f>IF(AND(N72="已计入",H72="是",H$7&lt;&gt;""),($Q72+IF(COUNTIFS($F72:H72,"是")&lt;=$R72,1,0))/100,0)</x:f>
        <x:v>0</x:v>
      </x:c>
      <x:c r="V72" s="16" t="n">
        <x:f>IF(AND(N72="已计入",I72="是",I$7&lt;&gt;""),($Q72+IF(COUNTIFS($F72:I72,"是")&lt;=$R72,1,0))/100,0)</x:f>
        <x:v>0</x:v>
      </x:c>
      <x:c r="W72" s="16" t="n">
        <x:f>IF(AND(N72="已计入",J72="是",J$7&lt;&gt;""),($Q72+IF(COUNTIFS($F72:J72,"是")&lt;=$R72,1,0))/100,0)</x:f>
        <x:v>0</x:v>
      </x:c>
      <x:c r="X72" s="16" t="n">
        <x:f>IF(AND(N72="已计入",K72="是",K$7&lt;&gt;""),($Q72+IF(COUNTIFS($F72:K72,"是")&lt;=$R72,1,0))/100,0)</x:f>
        <x:v>0</x:v>
      </x:c>
      <x:c r="Y72" s="16" t="n">
        <x:f>IF(AND(N72="已计入",L72="是",L$7&lt;&gt;""),($Q72+IF(COUNTIFS($F72:L72,"是")&lt;=$R72,1,0))/100,0)</x:f>
        <x:v>0</x:v>
      </x:c>
      <x:c r="Z72" s="16" t="n">
        <x:f>IF(AND(N72="已计入",M72="是",M$7&lt;&gt;""),($Q72+IF(COUNTIFS($F72:M72,"是")&lt;=$R72,1,0))/100,0)</x:f>
        <x:v>0</x:v>
      </x:c>
    </x:row>
    <x:row r="73" ht="26" customHeight="1">
      <x:c r="A73" s="2" t="n">
        <x:v>66</x:v>
      </x:c>
      <x:c r="B73" s="14"/>
      <x:c r="C73" s="5"/>
      <x:c r="D73" s="5"/>
      <x:c r="E73" s="15"/>
      <x:c r="F73" s="12"/>
      <x:c r="G73" s="12"/>
      <x:c r="H73" s="12"/>
      <x:c r="I73" s="12"/>
      <x:c r="J73" s="12"/>
      <x:c r="K73" s="12"/>
      <x:c r="L73" s="12"/>
      <x:c r="M73" s="12"/>
      <x:c r="N73" s="13" t="str">
        <x:f>IF(COUNTA(B73:M73)=0,"",IF('成员设置'!$B$18&lt;2,"先设置至少2位成员",IF(COUNTIFS('成员设置'!$C$9:$C$16,"可用")&lt;&gt;'成员设置'!$B$18,"先修正成员昵称",IF(C73="","填写费用项目",IF(D73="","选择付款人",IF(COUNTIFS('成员设置'!$B$9:$B$16,D73)&lt;&gt;1,"付款人不在成员中",IF(ISBLANK(E73),"填写金额",IF(NOT(ISNUMBER(E73)),"金额须为数字",IF(E73&lt;0,"金额不能小于0",IF(E73&lt;&gt;ROUND(E73,2),"金额最多两位小数",IF(COUNTIFS(F73:M73,"是")&lt;&gt;O73,"未设成员列不能选是",IF(COUNTA(F73:M73)&lt;&gt;COUNTIFS(F73:M73,"是")+COUNTIFS(F73:M73,"否"),"参与列只填是或否",IF(AND(E73&gt;0,O73=0),"至少1位参与者","已计入")))))))))))))</x:f>
      </x:c>
      <x:c r="O73" s="17" t="n">
        <x:f>SUMPRODUCT((F73:M73="是")*(F$7:M$7&lt;&gt;""))</x:f>
        <x:v>0</x:v>
      </x:c>
      <x:c r="P73" s="17" t="n">
        <x:f>IF(N73="已计入",ROUND(E73*100,0),0)</x:f>
        <x:v>0</x:v>
      </x:c>
      <x:c r="Q73" s="17" t="n">
        <x:f>IF(O73=0,0,INT(P73/O73))</x:f>
        <x:v>0</x:v>
      </x:c>
      <x:c r="R73" s="17" t="n">
        <x:f>IF(O73=0,0,MOD(P73,O73))</x:f>
        <x:v>0</x:v>
      </x:c>
      <x:c r="S73" s="16" t="n">
        <x:f>IF(AND(N73="已计入",F73="是",F$7&lt;&gt;""),($Q73+IF(COUNTIFS($F73:F73,"是")&lt;=$R73,1,0))/100,0)</x:f>
        <x:v>0</x:v>
      </x:c>
      <x:c r="T73" s="16" t="n">
        <x:f>IF(AND(N73="已计入",G73="是",G$7&lt;&gt;""),($Q73+IF(COUNTIFS($F73:G73,"是")&lt;=$R73,1,0))/100,0)</x:f>
        <x:v>0</x:v>
      </x:c>
      <x:c r="U73" s="16" t="n">
        <x:f>IF(AND(N73="已计入",H73="是",H$7&lt;&gt;""),($Q73+IF(COUNTIFS($F73:H73,"是")&lt;=$R73,1,0))/100,0)</x:f>
        <x:v>0</x:v>
      </x:c>
      <x:c r="V73" s="16" t="n">
        <x:f>IF(AND(N73="已计入",I73="是",I$7&lt;&gt;""),($Q73+IF(COUNTIFS($F73:I73,"是")&lt;=$R73,1,0))/100,0)</x:f>
        <x:v>0</x:v>
      </x:c>
      <x:c r="W73" s="16" t="n">
        <x:f>IF(AND(N73="已计入",J73="是",J$7&lt;&gt;""),($Q73+IF(COUNTIFS($F73:J73,"是")&lt;=$R73,1,0))/100,0)</x:f>
        <x:v>0</x:v>
      </x:c>
      <x:c r="X73" s="16" t="n">
        <x:f>IF(AND(N73="已计入",K73="是",K$7&lt;&gt;""),($Q73+IF(COUNTIFS($F73:K73,"是")&lt;=$R73,1,0))/100,0)</x:f>
        <x:v>0</x:v>
      </x:c>
      <x:c r="Y73" s="16" t="n">
        <x:f>IF(AND(N73="已计入",L73="是",L$7&lt;&gt;""),($Q73+IF(COUNTIFS($F73:L73,"是")&lt;=$R73,1,0))/100,0)</x:f>
        <x:v>0</x:v>
      </x:c>
      <x:c r="Z73" s="16" t="n">
        <x:f>IF(AND(N73="已计入",M73="是",M$7&lt;&gt;""),($Q73+IF(COUNTIFS($F73:M73,"是")&lt;=$R73,1,0))/100,0)</x:f>
        <x:v>0</x:v>
      </x:c>
    </x:row>
    <x:row r="74" ht="26" customHeight="1">
      <x:c r="A74" s="2" t="n">
        <x:v>67</x:v>
      </x:c>
      <x:c r="B74" s="14"/>
      <x:c r="C74" s="5"/>
      <x:c r="D74" s="5"/>
      <x:c r="E74" s="15"/>
      <x:c r="F74" s="12"/>
      <x:c r="G74" s="12"/>
      <x:c r="H74" s="12"/>
      <x:c r="I74" s="12"/>
      <x:c r="J74" s="12"/>
      <x:c r="K74" s="12"/>
      <x:c r="L74" s="12"/>
      <x:c r="M74" s="12"/>
      <x:c r="N74" s="13" t="str">
        <x:f>IF(COUNTA(B74:M74)=0,"",IF('成员设置'!$B$18&lt;2,"先设置至少2位成员",IF(COUNTIFS('成员设置'!$C$9:$C$16,"可用")&lt;&gt;'成员设置'!$B$18,"先修正成员昵称",IF(C74="","填写费用项目",IF(D74="","选择付款人",IF(COUNTIFS('成员设置'!$B$9:$B$16,D74)&lt;&gt;1,"付款人不在成员中",IF(ISBLANK(E74),"填写金额",IF(NOT(ISNUMBER(E74)),"金额须为数字",IF(E74&lt;0,"金额不能小于0",IF(E74&lt;&gt;ROUND(E74,2),"金额最多两位小数",IF(COUNTIFS(F74:M74,"是")&lt;&gt;O74,"未设成员列不能选是",IF(COUNTA(F74:M74)&lt;&gt;COUNTIFS(F74:M74,"是")+COUNTIFS(F74:M74,"否"),"参与列只填是或否",IF(AND(E74&gt;0,O74=0),"至少1位参与者","已计入")))))))))))))</x:f>
      </x:c>
      <x:c r="O74" s="17" t="n">
        <x:f>SUMPRODUCT((F74:M74="是")*(F$7:M$7&lt;&gt;""))</x:f>
        <x:v>0</x:v>
      </x:c>
      <x:c r="P74" s="17" t="n">
        <x:f>IF(N74="已计入",ROUND(E74*100,0),0)</x:f>
        <x:v>0</x:v>
      </x:c>
      <x:c r="Q74" s="17" t="n">
        <x:f>IF(O74=0,0,INT(P74/O74))</x:f>
        <x:v>0</x:v>
      </x:c>
      <x:c r="R74" s="17" t="n">
        <x:f>IF(O74=0,0,MOD(P74,O74))</x:f>
        <x:v>0</x:v>
      </x:c>
      <x:c r="S74" s="16" t="n">
        <x:f>IF(AND(N74="已计入",F74="是",F$7&lt;&gt;""),($Q74+IF(COUNTIFS($F74:F74,"是")&lt;=$R74,1,0))/100,0)</x:f>
        <x:v>0</x:v>
      </x:c>
      <x:c r="T74" s="16" t="n">
        <x:f>IF(AND(N74="已计入",G74="是",G$7&lt;&gt;""),($Q74+IF(COUNTIFS($F74:G74,"是")&lt;=$R74,1,0))/100,0)</x:f>
        <x:v>0</x:v>
      </x:c>
      <x:c r="U74" s="16" t="n">
        <x:f>IF(AND(N74="已计入",H74="是",H$7&lt;&gt;""),($Q74+IF(COUNTIFS($F74:H74,"是")&lt;=$R74,1,0))/100,0)</x:f>
        <x:v>0</x:v>
      </x:c>
      <x:c r="V74" s="16" t="n">
        <x:f>IF(AND(N74="已计入",I74="是",I$7&lt;&gt;""),($Q74+IF(COUNTIFS($F74:I74,"是")&lt;=$R74,1,0))/100,0)</x:f>
        <x:v>0</x:v>
      </x:c>
      <x:c r="W74" s="16" t="n">
        <x:f>IF(AND(N74="已计入",J74="是",J$7&lt;&gt;""),($Q74+IF(COUNTIFS($F74:J74,"是")&lt;=$R74,1,0))/100,0)</x:f>
        <x:v>0</x:v>
      </x:c>
      <x:c r="X74" s="16" t="n">
        <x:f>IF(AND(N74="已计入",K74="是",K$7&lt;&gt;""),($Q74+IF(COUNTIFS($F74:K74,"是")&lt;=$R74,1,0))/100,0)</x:f>
        <x:v>0</x:v>
      </x:c>
      <x:c r="Y74" s="16" t="n">
        <x:f>IF(AND(N74="已计入",L74="是",L$7&lt;&gt;""),($Q74+IF(COUNTIFS($F74:L74,"是")&lt;=$R74,1,0))/100,0)</x:f>
        <x:v>0</x:v>
      </x:c>
      <x:c r="Z74" s="16" t="n">
        <x:f>IF(AND(N74="已计入",M74="是",M$7&lt;&gt;""),($Q74+IF(COUNTIFS($F74:M74,"是")&lt;=$R74,1,0))/100,0)</x:f>
        <x:v>0</x:v>
      </x:c>
    </x:row>
    <x:row r="75" ht="26" customHeight="1">
      <x:c r="A75" s="2" t="n">
        <x:v>68</x:v>
      </x:c>
      <x:c r="B75" s="14"/>
      <x:c r="C75" s="5"/>
      <x:c r="D75" s="5"/>
      <x:c r="E75" s="15"/>
      <x:c r="F75" s="12"/>
      <x:c r="G75" s="12"/>
      <x:c r="H75" s="12"/>
      <x:c r="I75" s="12"/>
      <x:c r="J75" s="12"/>
      <x:c r="K75" s="12"/>
      <x:c r="L75" s="12"/>
      <x:c r="M75" s="12"/>
      <x:c r="N75" s="13" t="str">
        <x:f>IF(COUNTA(B75:M75)=0,"",IF('成员设置'!$B$18&lt;2,"先设置至少2位成员",IF(COUNTIFS('成员设置'!$C$9:$C$16,"可用")&lt;&gt;'成员设置'!$B$18,"先修正成员昵称",IF(C75="","填写费用项目",IF(D75="","选择付款人",IF(COUNTIFS('成员设置'!$B$9:$B$16,D75)&lt;&gt;1,"付款人不在成员中",IF(ISBLANK(E75),"填写金额",IF(NOT(ISNUMBER(E75)),"金额须为数字",IF(E75&lt;0,"金额不能小于0",IF(E75&lt;&gt;ROUND(E75,2),"金额最多两位小数",IF(COUNTIFS(F75:M75,"是")&lt;&gt;O75,"未设成员列不能选是",IF(COUNTA(F75:M75)&lt;&gt;COUNTIFS(F75:M75,"是")+COUNTIFS(F75:M75,"否"),"参与列只填是或否",IF(AND(E75&gt;0,O75=0),"至少1位参与者","已计入")))))))))))))</x:f>
      </x:c>
      <x:c r="O75" s="17" t="n">
        <x:f>SUMPRODUCT((F75:M75="是")*(F$7:M$7&lt;&gt;""))</x:f>
        <x:v>0</x:v>
      </x:c>
      <x:c r="P75" s="17" t="n">
        <x:f>IF(N75="已计入",ROUND(E75*100,0),0)</x:f>
        <x:v>0</x:v>
      </x:c>
      <x:c r="Q75" s="17" t="n">
        <x:f>IF(O75=0,0,INT(P75/O75))</x:f>
        <x:v>0</x:v>
      </x:c>
      <x:c r="R75" s="17" t="n">
        <x:f>IF(O75=0,0,MOD(P75,O75))</x:f>
        <x:v>0</x:v>
      </x:c>
      <x:c r="S75" s="16" t="n">
        <x:f>IF(AND(N75="已计入",F75="是",F$7&lt;&gt;""),($Q75+IF(COUNTIFS($F75:F75,"是")&lt;=$R75,1,0))/100,0)</x:f>
        <x:v>0</x:v>
      </x:c>
      <x:c r="T75" s="16" t="n">
        <x:f>IF(AND(N75="已计入",G75="是",G$7&lt;&gt;""),($Q75+IF(COUNTIFS($F75:G75,"是")&lt;=$R75,1,0))/100,0)</x:f>
        <x:v>0</x:v>
      </x:c>
      <x:c r="U75" s="16" t="n">
        <x:f>IF(AND(N75="已计入",H75="是",H$7&lt;&gt;""),($Q75+IF(COUNTIFS($F75:H75,"是")&lt;=$R75,1,0))/100,0)</x:f>
        <x:v>0</x:v>
      </x:c>
      <x:c r="V75" s="16" t="n">
        <x:f>IF(AND(N75="已计入",I75="是",I$7&lt;&gt;""),($Q75+IF(COUNTIFS($F75:I75,"是")&lt;=$R75,1,0))/100,0)</x:f>
        <x:v>0</x:v>
      </x:c>
      <x:c r="W75" s="16" t="n">
        <x:f>IF(AND(N75="已计入",J75="是",J$7&lt;&gt;""),($Q75+IF(COUNTIFS($F75:J75,"是")&lt;=$R75,1,0))/100,0)</x:f>
        <x:v>0</x:v>
      </x:c>
      <x:c r="X75" s="16" t="n">
        <x:f>IF(AND(N75="已计入",K75="是",K$7&lt;&gt;""),($Q75+IF(COUNTIFS($F75:K75,"是")&lt;=$R75,1,0))/100,0)</x:f>
        <x:v>0</x:v>
      </x:c>
      <x:c r="Y75" s="16" t="n">
        <x:f>IF(AND(N75="已计入",L75="是",L$7&lt;&gt;""),($Q75+IF(COUNTIFS($F75:L75,"是")&lt;=$R75,1,0))/100,0)</x:f>
        <x:v>0</x:v>
      </x:c>
      <x:c r="Z75" s="16" t="n">
        <x:f>IF(AND(N75="已计入",M75="是",M$7&lt;&gt;""),($Q75+IF(COUNTIFS($F75:M75,"是")&lt;=$R75,1,0))/100,0)</x:f>
        <x:v>0</x:v>
      </x:c>
    </x:row>
    <x:row r="76" ht="26" customHeight="1">
      <x:c r="A76" s="2" t="n">
        <x:v>69</x:v>
      </x:c>
      <x:c r="B76" s="14"/>
      <x:c r="C76" s="5"/>
      <x:c r="D76" s="5"/>
      <x:c r="E76" s="15"/>
      <x:c r="F76" s="12"/>
      <x:c r="G76" s="12"/>
      <x:c r="H76" s="12"/>
      <x:c r="I76" s="12"/>
      <x:c r="J76" s="12"/>
      <x:c r="K76" s="12"/>
      <x:c r="L76" s="12"/>
      <x:c r="M76" s="12"/>
      <x:c r="N76" s="13" t="str">
        <x:f>IF(COUNTA(B76:M76)=0,"",IF('成员设置'!$B$18&lt;2,"先设置至少2位成员",IF(COUNTIFS('成员设置'!$C$9:$C$16,"可用")&lt;&gt;'成员设置'!$B$18,"先修正成员昵称",IF(C76="","填写费用项目",IF(D76="","选择付款人",IF(COUNTIFS('成员设置'!$B$9:$B$16,D76)&lt;&gt;1,"付款人不在成员中",IF(ISBLANK(E76),"填写金额",IF(NOT(ISNUMBER(E76)),"金额须为数字",IF(E76&lt;0,"金额不能小于0",IF(E76&lt;&gt;ROUND(E76,2),"金额最多两位小数",IF(COUNTIFS(F76:M76,"是")&lt;&gt;O76,"未设成员列不能选是",IF(COUNTA(F76:M76)&lt;&gt;COUNTIFS(F76:M76,"是")+COUNTIFS(F76:M76,"否"),"参与列只填是或否",IF(AND(E76&gt;0,O76=0),"至少1位参与者","已计入")))))))))))))</x:f>
      </x:c>
      <x:c r="O76" s="17" t="n">
        <x:f>SUMPRODUCT((F76:M76="是")*(F$7:M$7&lt;&gt;""))</x:f>
        <x:v>0</x:v>
      </x:c>
      <x:c r="P76" s="17" t="n">
        <x:f>IF(N76="已计入",ROUND(E76*100,0),0)</x:f>
        <x:v>0</x:v>
      </x:c>
      <x:c r="Q76" s="17" t="n">
        <x:f>IF(O76=0,0,INT(P76/O76))</x:f>
        <x:v>0</x:v>
      </x:c>
      <x:c r="R76" s="17" t="n">
        <x:f>IF(O76=0,0,MOD(P76,O76))</x:f>
        <x:v>0</x:v>
      </x:c>
      <x:c r="S76" s="16" t="n">
        <x:f>IF(AND(N76="已计入",F76="是",F$7&lt;&gt;""),($Q76+IF(COUNTIFS($F76:F76,"是")&lt;=$R76,1,0))/100,0)</x:f>
        <x:v>0</x:v>
      </x:c>
      <x:c r="T76" s="16" t="n">
        <x:f>IF(AND(N76="已计入",G76="是",G$7&lt;&gt;""),($Q76+IF(COUNTIFS($F76:G76,"是")&lt;=$R76,1,0))/100,0)</x:f>
        <x:v>0</x:v>
      </x:c>
      <x:c r="U76" s="16" t="n">
        <x:f>IF(AND(N76="已计入",H76="是",H$7&lt;&gt;""),($Q76+IF(COUNTIFS($F76:H76,"是")&lt;=$R76,1,0))/100,0)</x:f>
        <x:v>0</x:v>
      </x:c>
      <x:c r="V76" s="16" t="n">
        <x:f>IF(AND(N76="已计入",I76="是",I$7&lt;&gt;""),($Q76+IF(COUNTIFS($F76:I76,"是")&lt;=$R76,1,0))/100,0)</x:f>
        <x:v>0</x:v>
      </x:c>
      <x:c r="W76" s="16" t="n">
        <x:f>IF(AND(N76="已计入",J76="是",J$7&lt;&gt;""),($Q76+IF(COUNTIFS($F76:J76,"是")&lt;=$R76,1,0))/100,0)</x:f>
        <x:v>0</x:v>
      </x:c>
      <x:c r="X76" s="16" t="n">
        <x:f>IF(AND(N76="已计入",K76="是",K$7&lt;&gt;""),($Q76+IF(COUNTIFS($F76:K76,"是")&lt;=$R76,1,0))/100,0)</x:f>
        <x:v>0</x:v>
      </x:c>
      <x:c r="Y76" s="16" t="n">
        <x:f>IF(AND(N76="已计入",L76="是",L$7&lt;&gt;""),($Q76+IF(COUNTIFS($F76:L76,"是")&lt;=$R76,1,0))/100,0)</x:f>
        <x:v>0</x:v>
      </x:c>
      <x:c r="Z76" s="16" t="n">
        <x:f>IF(AND(N76="已计入",M76="是",M$7&lt;&gt;""),($Q76+IF(COUNTIFS($F76:M76,"是")&lt;=$R76,1,0))/100,0)</x:f>
        <x:v>0</x:v>
      </x:c>
    </x:row>
    <x:row r="77" ht="26" customHeight="1">
      <x:c r="A77" s="2" t="n">
        <x:v>70</x:v>
      </x:c>
      <x:c r="B77" s="14"/>
      <x:c r="C77" s="5"/>
      <x:c r="D77" s="5"/>
      <x:c r="E77" s="15"/>
      <x:c r="F77" s="12"/>
      <x:c r="G77" s="12"/>
      <x:c r="H77" s="12"/>
      <x:c r="I77" s="12"/>
      <x:c r="J77" s="12"/>
      <x:c r="K77" s="12"/>
      <x:c r="L77" s="12"/>
      <x:c r="M77" s="12"/>
      <x:c r="N77" s="13" t="str">
        <x:f>IF(COUNTA(B77:M77)=0,"",IF('成员设置'!$B$18&lt;2,"先设置至少2位成员",IF(COUNTIFS('成员设置'!$C$9:$C$16,"可用")&lt;&gt;'成员设置'!$B$18,"先修正成员昵称",IF(C77="","填写费用项目",IF(D77="","选择付款人",IF(COUNTIFS('成员设置'!$B$9:$B$16,D77)&lt;&gt;1,"付款人不在成员中",IF(ISBLANK(E77),"填写金额",IF(NOT(ISNUMBER(E77)),"金额须为数字",IF(E77&lt;0,"金额不能小于0",IF(E77&lt;&gt;ROUND(E77,2),"金额最多两位小数",IF(COUNTIFS(F77:M77,"是")&lt;&gt;O77,"未设成员列不能选是",IF(COUNTA(F77:M77)&lt;&gt;COUNTIFS(F77:M77,"是")+COUNTIFS(F77:M77,"否"),"参与列只填是或否",IF(AND(E77&gt;0,O77=0),"至少1位参与者","已计入")))))))))))))</x:f>
      </x:c>
      <x:c r="O77" s="17" t="n">
        <x:f>SUMPRODUCT((F77:M77="是")*(F$7:M$7&lt;&gt;""))</x:f>
        <x:v>0</x:v>
      </x:c>
      <x:c r="P77" s="17" t="n">
        <x:f>IF(N77="已计入",ROUND(E77*100,0),0)</x:f>
        <x:v>0</x:v>
      </x:c>
      <x:c r="Q77" s="17" t="n">
        <x:f>IF(O77=0,0,INT(P77/O77))</x:f>
        <x:v>0</x:v>
      </x:c>
      <x:c r="R77" s="17" t="n">
        <x:f>IF(O77=0,0,MOD(P77,O77))</x:f>
        <x:v>0</x:v>
      </x:c>
      <x:c r="S77" s="16" t="n">
        <x:f>IF(AND(N77="已计入",F77="是",F$7&lt;&gt;""),($Q77+IF(COUNTIFS($F77:F77,"是")&lt;=$R77,1,0))/100,0)</x:f>
        <x:v>0</x:v>
      </x:c>
      <x:c r="T77" s="16" t="n">
        <x:f>IF(AND(N77="已计入",G77="是",G$7&lt;&gt;""),($Q77+IF(COUNTIFS($F77:G77,"是")&lt;=$R77,1,0))/100,0)</x:f>
        <x:v>0</x:v>
      </x:c>
      <x:c r="U77" s="16" t="n">
        <x:f>IF(AND(N77="已计入",H77="是",H$7&lt;&gt;""),($Q77+IF(COUNTIFS($F77:H77,"是")&lt;=$R77,1,0))/100,0)</x:f>
        <x:v>0</x:v>
      </x:c>
      <x:c r="V77" s="16" t="n">
        <x:f>IF(AND(N77="已计入",I77="是",I$7&lt;&gt;""),($Q77+IF(COUNTIFS($F77:I77,"是")&lt;=$R77,1,0))/100,0)</x:f>
        <x:v>0</x:v>
      </x:c>
      <x:c r="W77" s="16" t="n">
        <x:f>IF(AND(N77="已计入",J77="是",J$7&lt;&gt;""),($Q77+IF(COUNTIFS($F77:J77,"是")&lt;=$R77,1,0))/100,0)</x:f>
        <x:v>0</x:v>
      </x:c>
      <x:c r="X77" s="16" t="n">
        <x:f>IF(AND(N77="已计入",K77="是",K$7&lt;&gt;""),($Q77+IF(COUNTIFS($F77:K77,"是")&lt;=$R77,1,0))/100,0)</x:f>
        <x:v>0</x:v>
      </x:c>
      <x:c r="Y77" s="16" t="n">
        <x:f>IF(AND(N77="已计入",L77="是",L$7&lt;&gt;""),($Q77+IF(COUNTIFS($F77:L77,"是")&lt;=$R77,1,0))/100,0)</x:f>
        <x:v>0</x:v>
      </x:c>
      <x:c r="Z77" s="16" t="n">
        <x:f>IF(AND(N77="已计入",M77="是",M$7&lt;&gt;""),($Q77+IF(COUNTIFS($F77:M77,"是")&lt;=$R77,1,0))/100,0)</x:f>
        <x:v>0</x:v>
      </x:c>
    </x:row>
    <x:row r="78" ht="26" customHeight="1">
      <x:c r="A78" s="2" t="n">
        <x:v>71</x:v>
      </x:c>
      <x:c r="B78" s="14"/>
      <x:c r="C78" s="5"/>
      <x:c r="D78" s="5"/>
      <x:c r="E78" s="15"/>
      <x:c r="F78" s="12"/>
      <x:c r="G78" s="12"/>
      <x:c r="H78" s="12"/>
      <x:c r="I78" s="12"/>
      <x:c r="J78" s="12"/>
      <x:c r="K78" s="12"/>
      <x:c r="L78" s="12"/>
      <x:c r="M78" s="12"/>
      <x:c r="N78" s="13" t="str">
        <x:f>IF(COUNTA(B78:M78)=0,"",IF('成员设置'!$B$18&lt;2,"先设置至少2位成员",IF(COUNTIFS('成员设置'!$C$9:$C$16,"可用")&lt;&gt;'成员设置'!$B$18,"先修正成员昵称",IF(C78="","填写费用项目",IF(D78="","选择付款人",IF(COUNTIFS('成员设置'!$B$9:$B$16,D78)&lt;&gt;1,"付款人不在成员中",IF(ISBLANK(E78),"填写金额",IF(NOT(ISNUMBER(E78)),"金额须为数字",IF(E78&lt;0,"金额不能小于0",IF(E78&lt;&gt;ROUND(E78,2),"金额最多两位小数",IF(COUNTIFS(F78:M78,"是")&lt;&gt;O78,"未设成员列不能选是",IF(COUNTA(F78:M78)&lt;&gt;COUNTIFS(F78:M78,"是")+COUNTIFS(F78:M78,"否"),"参与列只填是或否",IF(AND(E78&gt;0,O78=0),"至少1位参与者","已计入")))))))))))))</x:f>
      </x:c>
      <x:c r="O78" s="17" t="n">
        <x:f>SUMPRODUCT((F78:M78="是")*(F$7:M$7&lt;&gt;""))</x:f>
        <x:v>0</x:v>
      </x:c>
      <x:c r="P78" s="17" t="n">
        <x:f>IF(N78="已计入",ROUND(E78*100,0),0)</x:f>
        <x:v>0</x:v>
      </x:c>
      <x:c r="Q78" s="17" t="n">
        <x:f>IF(O78=0,0,INT(P78/O78))</x:f>
        <x:v>0</x:v>
      </x:c>
      <x:c r="R78" s="17" t="n">
        <x:f>IF(O78=0,0,MOD(P78,O78))</x:f>
        <x:v>0</x:v>
      </x:c>
      <x:c r="S78" s="16" t="n">
        <x:f>IF(AND(N78="已计入",F78="是",F$7&lt;&gt;""),($Q78+IF(COUNTIFS($F78:F78,"是")&lt;=$R78,1,0))/100,0)</x:f>
        <x:v>0</x:v>
      </x:c>
      <x:c r="T78" s="16" t="n">
        <x:f>IF(AND(N78="已计入",G78="是",G$7&lt;&gt;""),($Q78+IF(COUNTIFS($F78:G78,"是")&lt;=$R78,1,0))/100,0)</x:f>
        <x:v>0</x:v>
      </x:c>
      <x:c r="U78" s="16" t="n">
        <x:f>IF(AND(N78="已计入",H78="是",H$7&lt;&gt;""),($Q78+IF(COUNTIFS($F78:H78,"是")&lt;=$R78,1,0))/100,0)</x:f>
        <x:v>0</x:v>
      </x:c>
      <x:c r="V78" s="16" t="n">
        <x:f>IF(AND(N78="已计入",I78="是",I$7&lt;&gt;""),($Q78+IF(COUNTIFS($F78:I78,"是")&lt;=$R78,1,0))/100,0)</x:f>
        <x:v>0</x:v>
      </x:c>
      <x:c r="W78" s="16" t="n">
        <x:f>IF(AND(N78="已计入",J78="是",J$7&lt;&gt;""),($Q78+IF(COUNTIFS($F78:J78,"是")&lt;=$R78,1,0))/100,0)</x:f>
        <x:v>0</x:v>
      </x:c>
      <x:c r="X78" s="16" t="n">
        <x:f>IF(AND(N78="已计入",K78="是",K$7&lt;&gt;""),($Q78+IF(COUNTIFS($F78:K78,"是")&lt;=$R78,1,0))/100,0)</x:f>
        <x:v>0</x:v>
      </x:c>
      <x:c r="Y78" s="16" t="n">
        <x:f>IF(AND(N78="已计入",L78="是",L$7&lt;&gt;""),($Q78+IF(COUNTIFS($F78:L78,"是")&lt;=$R78,1,0))/100,0)</x:f>
        <x:v>0</x:v>
      </x:c>
      <x:c r="Z78" s="16" t="n">
        <x:f>IF(AND(N78="已计入",M78="是",M$7&lt;&gt;""),($Q78+IF(COUNTIFS($F78:M78,"是")&lt;=$R78,1,0))/100,0)</x:f>
        <x:v>0</x:v>
      </x:c>
    </x:row>
    <x:row r="79" ht="26" customHeight="1">
      <x:c r="A79" s="2" t="n">
        <x:v>72</x:v>
      </x:c>
      <x:c r="B79" s="14"/>
      <x:c r="C79" s="5"/>
      <x:c r="D79" s="5"/>
      <x:c r="E79" s="15"/>
      <x:c r="F79" s="12"/>
      <x:c r="G79" s="12"/>
      <x:c r="H79" s="12"/>
      <x:c r="I79" s="12"/>
      <x:c r="J79" s="12"/>
      <x:c r="K79" s="12"/>
      <x:c r="L79" s="12"/>
      <x:c r="M79" s="12"/>
      <x:c r="N79" s="13" t="str">
        <x:f>IF(COUNTA(B79:M79)=0,"",IF('成员设置'!$B$18&lt;2,"先设置至少2位成员",IF(COUNTIFS('成员设置'!$C$9:$C$16,"可用")&lt;&gt;'成员设置'!$B$18,"先修正成员昵称",IF(C79="","填写费用项目",IF(D79="","选择付款人",IF(COUNTIFS('成员设置'!$B$9:$B$16,D79)&lt;&gt;1,"付款人不在成员中",IF(ISBLANK(E79),"填写金额",IF(NOT(ISNUMBER(E79)),"金额须为数字",IF(E79&lt;0,"金额不能小于0",IF(E79&lt;&gt;ROUND(E79,2),"金额最多两位小数",IF(COUNTIFS(F79:M79,"是")&lt;&gt;O79,"未设成员列不能选是",IF(COUNTA(F79:M79)&lt;&gt;COUNTIFS(F79:M79,"是")+COUNTIFS(F79:M79,"否"),"参与列只填是或否",IF(AND(E79&gt;0,O79=0),"至少1位参与者","已计入")))))))))))))</x:f>
      </x:c>
      <x:c r="O79" s="17" t="n">
        <x:f>SUMPRODUCT((F79:M79="是")*(F$7:M$7&lt;&gt;""))</x:f>
        <x:v>0</x:v>
      </x:c>
      <x:c r="P79" s="17" t="n">
        <x:f>IF(N79="已计入",ROUND(E79*100,0),0)</x:f>
        <x:v>0</x:v>
      </x:c>
      <x:c r="Q79" s="17" t="n">
        <x:f>IF(O79=0,0,INT(P79/O79))</x:f>
        <x:v>0</x:v>
      </x:c>
      <x:c r="R79" s="17" t="n">
        <x:f>IF(O79=0,0,MOD(P79,O79))</x:f>
        <x:v>0</x:v>
      </x:c>
      <x:c r="S79" s="16" t="n">
        <x:f>IF(AND(N79="已计入",F79="是",F$7&lt;&gt;""),($Q79+IF(COUNTIFS($F79:F79,"是")&lt;=$R79,1,0))/100,0)</x:f>
        <x:v>0</x:v>
      </x:c>
      <x:c r="T79" s="16" t="n">
        <x:f>IF(AND(N79="已计入",G79="是",G$7&lt;&gt;""),($Q79+IF(COUNTIFS($F79:G79,"是")&lt;=$R79,1,0))/100,0)</x:f>
        <x:v>0</x:v>
      </x:c>
      <x:c r="U79" s="16" t="n">
        <x:f>IF(AND(N79="已计入",H79="是",H$7&lt;&gt;""),($Q79+IF(COUNTIFS($F79:H79,"是")&lt;=$R79,1,0))/100,0)</x:f>
        <x:v>0</x:v>
      </x:c>
      <x:c r="V79" s="16" t="n">
        <x:f>IF(AND(N79="已计入",I79="是",I$7&lt;&gt;""),($Q79+IF(COUNTIFS($F79:I79,"是")&lt;=$R79,1,0))/100,0)</x:f>
        <x:v>0</x:v>
      </x:c>
      <x:c r="W79" s="16" t="n">
        <x:f>IF(AND(N79="已计入",J79="是",J$7&lt;&gt;""),($Q79+IF(COUNTIFS($F79:J79,"是")&lt;=$R79,1,0))/100,0)</x:f>
        <x:v>0</x:v>
      </x:c>
      <x:c r="X79" s="16" t="n">
        <x:f>IF(AND(N79="已计入",K79="是",K$7&lt;&gt;""),($Q79+IF(COUNTIFS($F79:K79,"是")&lt;=$R79,1,0))/100,0)</x:f>
        <x:v>0</x:v>
      </x:c>
      <x:c r="Y79" s="16" t="n">
        <x:f>IF(AND(N79="已计入",L79="是",L$7&lt;&gt;""),($Q79+IF(COUNTIFS($F79:L79,"是")&lt;=$R79,1,0))/100,0)</x:f>
        <x:v>0</x:v>
      </x:c>
      <x:c r="Z79" s="16" t="n">
        <x:f>IF(AND(N79="已计入",M79="是",M$7&lt;&gt;""),($Q79+IF(COUNTIFS($F79:M79,"是")&lt;=$R79,1,0))/100,0)</x:f>
        <x:v>0</x:v>
      </x:c>
    </x:row>
    <x:row r="80" ht="26" customHeight="1">
      <x:c r="A80" s="2" t="n">
        <x:v>73</x:v>
      </x:c>
      <x:c r="B80" s="14"/>
      <x:c r="C80" s="5"/>
      <x:c r="D80" s="5"/>
      <x:c r="E80" s="15"/>
      <x:c r="F80" s="12"/>
      <x:c r="G80" s="12"/>
      <x:c r="H80" s="12"/>
      <x:c r="I80" s="12"/>
      <x:c r="J80" s="12"/>
      <x:c r="K80" s="12"/>
      <x:c r="L80" s="12"/>
      <x:c r="M80" s="12"/>
      <x:c r="N80" s="13" t="str">
        <x:f>IF(COUNTA(B80:M80)=0,"",IF('成员设置'!$B$18&lt;2,"先设置至少2位成员",IF(COUNTIFS('成员设置'!$C$9:$C$16,"可用")&lt;&gt;'成员设置'!$B$18,"先修正成员昵称",IF(C80="","填写费用项目",IF(D80="","选择付款人",IF(COUNTIFS('成员设置'!$B$9:$B$16,D80)&lt;&gt;1,"付款人不在成员中",IF(ISBLANK(E80),"填写金额",IF(NOT(ISNUMBER(E80)),"金额须为数字",IF(E80&lt;0,"金额不能小于0",IF(E80&lt;&gt;ROUND(E80,2),"金额最多两位小数",IF(COUNTIFS(F80:M80,"是")&lt;&gt;O80,"未设成员列不能选是",IF(COUNTA(F80:M80)&lt;&gt;COUNTIFS(F80:M80,"是")+COUNTIFS(F80:M80,"否"),"参与列只填是或否",IF(AND(E80&gt;0,O80=0),"至少1位参与者","已计入")))))))))))))</x:f>
      </x:c>
      <x:c r="O80" s="17" t="n">
        <x:f>SUMPRODUCT((F80:M80="是")*(F$7:M$7&lt;&gt;""))</x:f>
        <x:v>0</x:v>
      </x:c>
      <x:c r="P80" s="17" t="n">
        <x:f>IF(N80="已计入",ROUND(E80*100,0),0)</x:f>
        <x:v>0</x:v>
      </x:c>
      <x:c r="Q80" s="17" t="n">
        <x:f>IF(O80=0,0,INT(P80/O80))</x:f>
        <x:v>0</x:v>
      </x:c>
      <x:c r="R80" s="17" t="n">
        <x:f>IF(O80=0,0,MOD(P80,O80))</x:f>
        <x:v>0</x:v>
      </x:c>
      <x:c r="S80" s="16" t="n">
        <x:f>IF(AND(N80="已计入",F80="是",F$7&lt;&gt;""),($Q80+IF(COUNTIFS($F80:F80,"是")&lt;=$R80,1,0))/100,0)</x:f>
        <x:v>0</x:v>
      </x:c>
      <x:c r="T80" s="16" t="n">
        <x:f>IF(AND(N80="已计入",G80="是",G$7&lt;&gt;""),($Q80+IF(COUNTIFS($F80:G80,"是")&lt;=$R80,1,0))/100,0)</x:f>
        <x:v>0</x:v>
      </x:c>
      <x:c r="U80" s="16" t="n">
        <x:f>IF(AND(N80="已计入",H80="是",H$7&lt;&gt;""),($Q80+IF(COUNTIFS($F80:H80,"是")&lt;=$R80,1,0))/100,0)</x:f>
        <x:v>0</x:v>
      </x:c>
      <x:c r="V80" s="16" t="n">
        <x:f>IF(AND(N80="已计入",I80="是",I$7&lt;&gt;""),($Q80+IF(COUNTIFS($F80:I80,"是")&lt;=$R80,1,0))/100,0)</x:f>
        <x:v>0</x:v>
      </x:c>
      <x:c r="W80" s="16" t="n">
        <x:f>IF(AND(N80="已计入",J80="是",J$7&lt;&gt;""),($Q80+IF(COUNTIFS($F80:J80,"是")&lt;=$R80,1,0))/100,0)</x:f>
        <x:v>0</x:v>
      </x:c>
      <x:c r="X80" s="16" t="n">
        <x:f>IF(AND(N80="已计入",K80="是",K$7&lt;&gt;""),($Q80+IF(COUNTIFS($F80:K80,"是")&lt;=$R80,1,0))/100,0)</x:f>
        <x:v>0</x:v>
      </x:c>
      <x:c r="Y80" s="16" t="n">
        <x:f>IF(AND(N80="已计入",L80="是",L$7&lt;&gt;""),($Q80+IF(COUNTIFS($F80:L80,"是")&lt;=$R80,1,0))/100,0)</x:f>
        <x:v>0</x:v>
      </x:c>
      <x:c r="Z80" s="16" t="n">
        <x:f>IF(AND(N80="已计入",M80="是",M$7&lt;&gt;""),($Q80+IF(COUNTIFS($F80:M80,"是")&lt;=$R80,1,0))/100,0)</x:f>
        <x:v>0</x:v>
      </x:c>
    </x:row>
    <x:row r="81" ht="26" customHeight="1">
      <x:c r="A81" s="2" t="n">
        <x:v>74</x:v>
      </x:c>
      <x:c r="B81" s="14"/>
      <x:c r="C81" s="5"/>
      <x:c r="D81" s="5"/>
      <x:c r="E81" s="15"/>
      <x:c r="F81" s="12"/>
      <x:c r="G81" s="12"/>
      <x:c r="H81" s="12"/>
      <x:c r="I81" s="12"/>
      <x:c r="J81" s="12"/>
      <x:c r="K81" s="12"/>
      <x:c r="L81" s="12"/>
      <x:c r="M81" s="12"/>
      <x:c r="N81" s="13" t="str">
        <x:f>IF(COUNTA(B81:M81)=0,"",IF('成员设置'!$B$18&lt;2,"先设置至少2位成员",IF(COUNTIFS('成员设置'!$C$9:$C$16,"可用")&lt;&gt;'成员设置'!$B$18,"先修正成员昵称",IF(C81="","填写费用项目",IF(D81="","选择付款人",IF(COUNTIFS('成员设置'!$B$9:$B$16,D81)&lt;&gt;1,"付款人不在成员中",IF(ISBLANK(E81),"填写金额",IF(NOT(ISNUMBER(E81)),"金额须为数字",IF(E81&lt;0,"金额不能小于0",IF(E81&lt;&gt;ROUND(E81,2),"金额最多两位小数",IF(COUNTIFS(F81:M81,"是")&lt;&gt;O81,"未设成员列不能选是",IF(COUNTA(F81:M81)&lt;&gt;COUNTIFS(F81:M81,"是")+COUNTIFS(F81:M81,"否"),"参与列只填是或否",IF(AND(E81&gt;0,O81=0),"至少1位参与者","已计入")))))))))))))</x:f>
      </x:c>
      <x:c r="O81" s="17" t="n">
        <x:f>SUMPRODUCT((F81:M81="是")*(F$7:M$7&lt;&gt;""))</x:f>
        <x:v>0</x:v>
      </x:c>
      <x:c r="P81" s="17" t="n">
        <x:f>IF(N81="已计入",ROUND(E81*100,0),0)</x:f>
        <x:v>0</x:v>
      </x:c>
      <x:c r="Q81" s="17" t="n">
        <x:f>IF(O81=0,0,INT(P81/O81))</x:f>
        <x:v>0</x:v>
      </x:c>
      <x:c r="R81" s="17" t="n">
        <x:f>IF(O81=0,0,MOD(P81,O81))</x:f>
        <x:v>0</x:v>
      </x:c>
      <x:c r="S81" s="16" t="n">
        <x:f>IF(AND(N81="已计入",F81="是",F$7&lt;&gt;""),($Q81+IF(COUNTIFS($F81:F81,"是")&lt;=$R81,1,0))/100,0)</x:f>
        <x:v>0</x:v>
      </x:c>
      <x:c r="T81" s="16" t="n">
        <x:f>IF(AND(N81="已计入",G81="是",G$7&lt;&gt;""),($Q81+IF(COUNTIFS($F81:G81,"是")&lt;=$R81,1,0))/100,0)</x:f>
        <x:v>0</x:v>
      </x:c>
      <x:c r="U81" s="16" t="n">
        <x:f>IF(AND(N81="已计入",H81="是",H$7&lt;&gt;""),($Q81+IF(COUNTIFS($F81:H81,"是")&lt;=$R81,1,0))/100,0)</x:f>
        <x:v>0</x:v>
      </x:c>
      <x:c r="V81" s="16" t="n">
        <x:f>IF(AND(N81="已计入",I81="是",I$7&lt;&gt;""),($Q81+IF(COUNTIFS($F81:I81,"是")&lt;=$R81,1,0))/100,0)</x:f>
        <x:v>0</x:v>
      </x:c>
      <x:c r="W81" s="16" t="n">
        <x:f>IF(AND(N81="已计入",J81="是",J$7&lt;&gt;""),($Q81+IF(COUNTIFS($F81:J81,"是")&lt;=$R81,1,0))/100,0)</x:f>
        <x:v>0</x:v>
      </x:c>
      <x:c r="X81" s="16" t="n">
        <x:f>IF(AND(N81="已计入",K81="是",K$7&lt;&gt;""),($Q81+IF(COUNTIFS($F81:K81,"是")&lt;=$R81,1,0))/100,0)</x:f>
        <x:v>0</x:v>
      </x:c>
      <x:c r="Y81" s="16" t="n">
        <x:f>IF(AND(N81="已计入",L81="是",L$7&lt;&gt;""),($Q81+IF(COUNTIFS($F81:L81,"是")&lt;=$R81,1,0))/100,0)</x:f>
        <x:v>0</x:v>
      </x:c>
      <x:c r="Z81" s="16" t="n">
        <x:f>IF(AND(N81="已计入",M81="是",M$7&lt;&gt;""),($Q81+IF(COUNTIFS($F81:M81,"是")&lt;=$R81,1,0))/100,0)</x:f>
        <x:v>0</x:v>
      </x:c>
    </x:row>
    <x:row r="82" ht="26" customHeight="1">
      <x:c r="A82" s="2" t="n">
        <x:v>75</x:v>
      </x:c>
      <x:c r="B82" s="14"/>
      <x:c r="C82" s="5"/>
      <x:c r="D82" s="5"/>
      <x:c r="E82" s="15"/>
      <x:c r="F82" s="12"/>
      <x:c r="G82" s="12"/>
      <x:c r="H82" s="12"/>
      <x:c r="I82" s="12"/>
      <x:c r="J82" s="12"/>
      <x:c r="K82" s="12"/>
      <x:c r="L82" s="12"/>
      <x:c r="M82" s="12"/>
      <x:c r="N82" s="13" t="str">
        <x:f>IF(COUNTA(B82:M82)=0,"",IF('成员设置'!$B$18&lt;2,"先设置至少2位成员",IF(COUNTIFS('成员设置'!$C$9:$C$16,"可用")&lt;&gt;'成员设置'!$B$18,"先修正成员昵称",IF(C82="","填写费用项目",IF(D82="","选择付款人",IF(COUNTIFS('成员设置'!$B$9:$B$16,D82)&lt;&gt;1,"付款人不在成员中",IF(ISBLANK(E82),"填写金额",IF(NOT(ISNUMBER(E82)),"金额须为数字",IF(E82&lt;0,"金额不能小于0",IF(E82&lt;&gt;ROUND(E82,2),"金额最多两位小数",IF(COUNTIFS(F82:M82,"是")&lt;&gt;O82,"未设成员列不能选是",IF(COUNTA(F82:M82)&lt;&gt;COUNTIFS(F82:M82,"是")+COUNTIFS(F82:M82,"否"),"参与列只填是或否",IF(AND(E82&gt;0,O82=0),"至少1位参与者","已计入")))))))))))))</x:f>
      </x:c>
      <x:c r="O82" s="17" t="n">
        <x:f>SUMPRODUCT((F82:M82="是")*(F$7:M$7&lt;&gt;""))</x:f>
        <x:v>0</x:v>
      </x:c>
      <x:c r="P82" s="17" t="n">
        <x:f>IF(N82="已计入",ROUND(E82*100,0),0)</x:f>
        <x:v>0</x:v>
      </x:c>
      <x:c r="Q82" s="17" t="n">
        <x:f>IF(O82=0,0,INT(P82/O82))</x:f>
        <x:v>0</x:v>
      </x:c>
      <x:c r="R82" s="17" t="n">
        <x:f>IF(O82=0,0,MOD(P82,O82))</x:f>
        <x:v>0</x:v>
      </x:c>
      <x:c r="S82" s="16" t="n">
        <x:f>IF(AND(N82="已计入",F82="是",F$7&lt;&gt;""),($Q82+IF(COUNTIFS($F82:F82,"是")&lt;=$R82,1,0))/100,0)</x:f>
        <x:v>0</x:v>
      </x:c>
      <x:c r="T82" s="16" t="n">
        <x:f>IF(AND(N82="已计入",G82="是",G$7&lt;&gt;""),($Q82+IF(COUNTIFS($F82:G82,"是")&lt;=$R82,1,0))/100,0)</x:f>
        <x:v>0</x:v>
      </x:c>
      <x:c r="U82" s="16" t="n">
        <x:f>IF(AND(N82="已计入",H82="是",H$7&lt;&gt;""),($Q82+IF(COUNTIFS($F82:H82,"是")&lt;=$R82,1,0))/100,0)</x:f>
        <x:v>0</x:v>
      </x:c>
      <x:c r="V82" s="16" t="n">
        <x:f>IF(AND(N82="已计入",I82="是",I$7&lt;&gt;""),($Q82+IF(COUNTIFS($F82:I82,"是")&lt;=$R82,1,0))/100,0)</x:f>
        <x:v>0</x:v>
      </x:c>
      <x:c r="W82" s="16" t="n">
        <x:f>IF(AND(N82="已计入",J82="是",J$7&lt;&gt;""),($Q82+IF(COUNTIFS($F82:J82,"是")&lt;=$R82,1,0))/100,0)</x:f>
        <x:v>0</x:v>
      </x:c>
      <x:c r="X82" s="16" t="n">
        <x:f>IF(AND(N82="已计入",K82="是",K$7&lt;&gt;""),($Q82+IF(COUNTIFS($F82:K82,"是")&lt;=$R82,1,0))/100,0)</x:f>
        <x:v>0</x:v>
      </x:c>
      <x:c r="Y82" s="16" t="n">
        <x:f>IF(AND(N82="已计入",L82="是",L$7&lt;&gt;""),($Q82+IF(COUNTIFS($F82:L82,"是")&lt;=$R82,1,0))/100,0)</x:f>
        <x:v>0</x:v>
      </x:c>
      <x:c r="Z82" s="16" t="n">
        <x:f>IF(AND(N82="已计入",M82="是",M$7&lt;&gt;""),($Q82+IF(COUNTIFS($F82:M82,"是")&lt;=$R82,1,0))/100,0)</x:f>
        <x:v>0</x:v>
      </x:c>
    </x:row>
    <x:row r="83" ht="26" customHeight="1">
      <x:c r="A83" s="2" t="n">
        <x:v>76</x:v>
      </x:c>
      <x:c r="B83" s="14"/>
      <x:c r="C83" s="5"/>
      <x:c r="D83" s="5"/>
      <x:c r="E83" s="15"/>
      <x:c r="F83" s="12"/>
      <x:c r="G83" s="12"/>
      <x:c r="H83" s="12"/>
      <x:c r="I83" s="12"/>
      <x:c r="J83" s="12"/>
      <x:c r="K83" s="12"/>
      <x:c r="L83" s="12"/>
      <x:c r="M83" s="12"/>
      <x:c r="N83" s="13" t="str">
        <x:f>IF(COUNTA(B83:M83)=0,"",IF('成员设置'!$B$18&lt;2,"先设置至少2位成员",IF(COUNTIFS('成员设置'!$C$9:$C$16,"可用")&lt;&gt;'成员设置'!$B$18,"先修正成员昵称",IF(C83="","填写费用项目",IF(D83="","选择付款人",IF(COUNTIFS('成员设置'!$B$9:$B$16,D83)&lt;&gt;1,"付款人不在成员中",IF(ISBLANK(E83),"填写金额",IF(NOT(ISNUMBER(E83)),"金额须为数字",IF(E83&lt;0,"金额不能小于0",IF(E83&lt;&gt;ROUND(E83,2),"金额最多两位小数",IF(COUNTIFS(F83:M83,"是")&lt;&gt;O83,"未设成员列不能选是",IF(COUNTA(F83:M83)&lt;&gt;COUNTIFS(F83:M83,"是")+COUNTIFS(F83:M83,"否"),"参与列只填是或否",IF(AND(E83&gt;0,O83=0),"至少1位参与者","已计入")))))))))))))</x:f>
      </x:c>
      <x:c r="O83" s="17" t="n">
        <x:f>SUMPRODUCT((F83:M83="是")*(F$7:M$7&lt;&gt;""))</x:f>
        <x:v>0</x:v>
      </x:c>
      <x:c r="P83" s="17" t="n">
        <x:f>IF(N83="已计入",ROUND(E83*100,0),0)</x:f>
        <x:v>0</x:v>
      </x:c>
      <x:c r="Q83" s="17" t="n">
        <x:f>IF(O83=0,0,INT(P83/O83))</x:f>
        <x:v>0</x:v>
      </x:c>
      <x:c r="R83" s="17" t="n">
        <x:f>IF(O83=0,0,MOD(P83,O83))</x:f>
        <x:v>0</x:v>
      </x:c>
      <x:c r="S83" s="16" t="n">
        <x:f>IF(AND(N83="已计入",F83="是",F$7&lt;&gt;""),($Q83+IF(COUNTIFS($F83:F83,"是")&lt;=$R83,1,0))/100,0)</x:f>
        <x:v>0</x:v>
      </x:c>
      <x:c r="T83" s="16" t="n">
        <x:f>IF(AND(N83="已计入",G83="是",G$7&lt;&gt;""),($Q83+IF(COUNTIFS($F83:G83,"是")&lt;=$R83,1,0))/100,0)</x:f>
        <x:v>0</x:v>
      </x:c>
      <x:c r="U83" s="16" t="n">
        <x:f>IF(AND(N83="已计入",H83="是",H$7&lt;&gt;""),($Q83+IF(COUNTIFS($F83:H83,"是")&lt;=$R83,1,0))/100,0)</x:f>
        <x:v>0</x:v>
      </x:c>
      <x:c r="V83" s="16" t="n">
        <x:f>IF(AND(N83="已计入",I83="是",I$7&lt;&gt;""),($Q83+IF(COUNTIFS($F83:I83,"是")&lt;=$R83,1,0))/100,0)</x:f>
        <x:v>0</x:v>
      </x:c>
      <x:c r="W83" s="16" t="n">
        <x:f>IF(AND(N83="已计入",J83="是",J$7&lt;&gt;""),($Q83+IF(COUNTIFS($F83:J83,"是")&lt;=$R83,1,0))/100,0)</x:f>
        <x:v>0</x:v>
      </x:c>
      <x:c r="X83" s="16" t="n">
        <x:f>IF(AND(N83="已计入",K83="是",K$7&lt;&gt;""),($Q83+IF(COUNTIFS($F83:K83,"是")&lt;=$R83,1,0))/100,0)</x:f>
        <x:v>0</x:v>
      </x:c>
      <x:c r="Y83" s="16" t="n">
        <x:f>IF(AND(N83="已计入",L83="是",L$7&lt;&gt;""),($Q83+IF(COUNTIFS($F83:L83,"是")&lt;=$R83,1,0))/100,0)</x:f>
        <x:v>0</x:v>
      </x:c>
      <x:c r="Z83" s="16" t="n">
        <x:f>IF(AND(N83="已计入",M83="是",M$7&lt;&gt;""),($Q83+IF(COUNTIFS($F83:M83,"是")&lt;=$R83,1,0))/100,0)</x:f>
        <x:v>0</x:v>
      </x:c>
    </x:row>
    <x:row r="84" ht="26" customHeight="1">
      <x:c r="A84" s="2" t="n">
        <x:v>77</x:v>
      </x:c>
      <x:c r="B84" s="14"/>
      <x:c r="C84" s="5"/>
      <x:c r="D84" s="5"/>
      <x:c r="E84" s="15"/>
      <x:c r="F84" s="12"/>
      <x:c r="G84" s="12"/>
      <x:c r="H84" s="12"/>
      <x:c r="I84" s="12"/>
      <x:c r="J84" s="12"/>
      <x:c r="K84" s="12"/>
      <x:c r="L84" s="12"/>
      <x:c r="M84" s="12"/>
      <x:c r="N84" s="13" t="str">
        <x:f>IF(COUNTA(B84:M84)=0,"",IF('成员设置'!$B$18&lt;2,"先设置至少2位成员",IF(COUNTIFS('成员设置'!$C$9:$C$16,"可用")&lt;&gt;'成员设置'!$B$18,"先修正成员昵称",IF(C84="","填写费用项目",IF(D84="","选择付款人",IF(COUNTIFS('成员设置'!$B$9:$B$16,D84)&lt;&gt;1,"付款人不在成员中",IF(ISBLANK(E84),"填写金额",IF(NOT(ISNUMBER(E84)),"金额须为数字",IF(E84&lt;0,"金额不能小于0",IF(E84&lt;&gt;ROUND(E84,2),"金额最多两位小数",IF(COUNTIFS(F84:M84,"是")&lt;&gt;O84,"未设成员列不能选是",IF(COUNTA(F84:M84)&lt;&gt;COUNTIFS(F84:M84,"是")+COUNTIFS(F84:M84,"否"),"参与列只填是或否",IF(AND(E84&gt;0,O84=0),"至少1位参与者","已计入")))))))))))))</x:f>
      </x:c>
      <x:c r="O84" s="17" t="n">
        <x:f>SUMPRODUCT((F84:M84="是")*(F$7:M$7&lt;&gt;""))</x:f>
        <x:v>0</x:v>
      </x:c>
      <x:c r="P84" s="17" t="n">
        <x:f>IF(N84="已计入",ROUND(E84*100,0),0)</x:f>
        <x:v>0</x:v>
      </x:c>
      <x:c r="Q84" s="17" t="n">
        <x:f>IF(O84=0,0,INT(P84/O84))</x:f>
        <x:v>0</x:v>
      </x:c>
      <x:c r="R84" s="17" t="n">
        <x:f>IF(O84=0,0,MOD(P84,O84))</x:f>
        <x:v>0</x:v>
      </x:c>
      <x:c r="S84" s="16" t="n">
        <x:f>IF(AND(N84="已计入",F84="是",F$7&lt;&gt;""),($Q84+IF(COUNTIFS($F84:F84,"是")&lt;=$R84,1,0))/100,0)</x:f>
        <x:v>0</x:v>
      </x:c>
      <x:c r="T84" s="16" t="n">
        <x:f>IF(AND(N84="已计入",G84="是",G$7&lt;&gt;""),($Q84+IF(COUNTIFS($F84:G84,"是")&lt;=$R84,1,0))/100,0)</x:f>
        <x:v>0</x:v>
      </x:c>
      <x:c r="U84" s="16" t="n">
        <x:f>IF(AND(N84="已计入",H84="是",H$7&lt;&gt;""),($Q84+IF(COUNTIFS($F84:H84,"是")&lt;=$R84,1,0))/100,0)</x:f>
        <x:v>0</x:v>
      </x:c>
      <x:c r="V84" s="16" t="n">
        <x:f>IF(AND(N84="已计入",I84="是",I$7&lt;&gt;""),($Q84+IF(COUNTIFS($F84:I84,"是")&lt;=$R84,1,0))/100,0)</x:f>
        <x:v>0</x:v>
      </x:c>
      <x:c r="W84" s="16" t="n">
        <x:f>IF(AND(N84="已计入",J84="是",J$7&lt;&gt;""),($Q84+IF(COUNTIFS($F84:J84,"是")&lt;=$R84,1,0))/100,0)</x:f>
        <x:v>0</x:v>
      </x:c>
      <x:c r="X84" s="16" t="n">
        <x:f>IF(AND(N84="已计入",K84="是",K$7&lt;&gt;""),($Q84+IF(COUNTIFS($F84:K84,"是")&lt;=$R84,1,0))/100,0)</x:f>
        <x:v>0</x:v>
      </x:c>
      <x:c r="Y84" s="16" t="n">
        <x:f>IF(AND(N84="已计入",L84="是",L$7&lt;&gt;""),($Q84+IF(COUNTIFS($F84:L84,"是")&lt;=$R84,1,0))/100,0)</x:f>
        <x:v>0</x:v>
      </x:c>
      <x:c r="Z84" s="16" t="n">
        <x:f>IF(AND(N84="已计入",M84="是",M$7&lt;&gt;""),($Q84+IF(COUNTIFS($F84:M84,"是")&lt;=$R84,1,0))/100,0)</x:f>
        <x:v>0</x:v>
      </x:c>
    </x:row>
    <x:row r="85" ht="26" customHeight="1">
      <x:c r="A85" s="2" t="n">
        <x:v>78</x:v>
      </x:c>
      <x:c r="B85" s="14"/>
      <x:c r="C85" s="5"/>
      <x:c r="D85" s="5"/>
      <x:c r="E85" s="15"/>
      <x:c r="F85" s="12"/>
      <x:c r="G85" s="12"/>
      <x:c r="H85" s="12"/>
      <x:c r="I85" s="12"/>
      <x:c r="J85" s="12"/>
      <x:c r="K85" s="12"/>
      <x:c r="L85" s="12"/>
      <x:c r="M85" s="12"/>
      <x:c r="N85" s="13" t="str">
        <x:f>IF(COUNTA(B85:M85)=0,"",IF('成员设置'!$B$18&lt;2,"先设置至少2位成员",IF(COUNTIFS('成员设置'!$C$9:$C$16,"可用")&lt;&gt;'成员设置'!$B$18,"先修正成员昵称",IF(C85="","填写费用项目",IF(D85="","选择付款人",IF(COUNTIFS('成员设置'!$B$9:$B$16,D85)&lt;&gt;1,"付款人不在成员中",IF(ISBLANK(E85),"填写金额",IF(NOT(ISNUMBER(E85)),"金额须为数字",IF(E85&lt;0,"金额不能小于0",IF(E85&lt;&gt;ROUND(E85,2),"金额最多两位小数",IF(COUNTIFS(F85:M85,"是")&lt;&gt;O85,"未设成员列不能选是",IF(COUNTA(F85:M85)&lt;&gt;COUNTIFS(F85:M85,"是")+COUNTIFS(F85:M85,"否"),"参与列只填是或否",IF(AND(E85&gt;0,O85=0),"至少1位参与者","已计入")))))))))))))</x:f>
      </x:c>
      <x:c r="O85" s="17" t="n">
        <x:f>SUMPRODUCT((F85:M85="是")*(F$7:M$7&lt;&gt;""))</x:f>
        <x:v>0</x:v>
      </x:c>
      <x:c r="P85" s="17" t="n">
        <x:f>IF(N85="已计入",ROUND(E85*100,0),0)</x:f>
        <x:v>0</x:v>
      </x:c>
      <x:c r="Q85" s="17" t="n">
        <x:f>IF(O85=0,0,INT(P85/O85))</x:f>
        <x:v>0</x:v>
      </x:c>
      <x:c r="R85" s="17" t="n">
        <x:f>IF(O85=0,0,MOD(P85,O85))</x:f>
        <x:v>0</x:v>
      </x:c>
      <x:c r="S85" s="16" t="n">
        <x:f>IF(AND(N85="已计入",F85="是",F$7&lt;&gt;""),($Q85+IF(COUNTIFS($F85:F85,"是")&lt;=$R85,1,0))/100,0)</x:f>
        <x:v>0</x:v>
      </x:c>
      <x:c r="T85" s="16" t="n">
        <x:f>IF(AND(N85="已计入",G85="是",G$7&lt;&gt;""),($Q85+IF(COUNTIFS($F85:G85,"是")&lt;=$R85,1,0))/100,0)</x:f>
        <x:v>0</x:v>
      </x:c>
      <x:c r="U85" s="16" t="n">
        <x:f>IF(AND(N85="已计入",H85="是",H$7&lt;&gt;""),($Q85+IF(COUNTIFS($F85:H85,"是")&lt;=$R85,1,0))/100,0)</x:f>
        <x:v>0</x:v>
      </x:c>
      <x:c r="V85" s="16" t="n">
        <x:f>IF(AND(N85="已计入",I85="是",I$7&lt;&gt;""),($Q85+IF(COUNTIFS($F85:I85,"是")&lt;=$R85,1,0))/100,0)</x:f>
        <x:v>0</x:v>
      </x:c>
      <x:c r="W85" s="16" t="n">
        <x:f>IF(AND(N85="已计入",J85="是",J$7&lt;&gt;""),($Q85+IF(COUNTIFS($F85:J85,"是")&lt;=$R85,1,0))/100,0)</x:f>
        <x:v>0</x:v>
      </x:c>
      <x:c r="X85" s="16" t="n">
        <x:f>IF(AND(N85="已计入",K85="是",K$7&lt;&gt;""),($Q85+IF(COUNTIFS($F85:K85,"是")&lt;=$R85,1,0))/100,0)</x:f>
        <x:v>0</x:v>
      </x:c>
      <x:c r="Y85" s="16" t="n">
        <x:f>IF(AND(N85="已计入",L85="是",L$7&lt;&gt;""),($Q85+IF(COUNTIFS($F85:L85,"是")&lt;=$R85,1,0))/100,0)</x:f>
        <x:v>0</x:v>
      </x:c>
      <x:c r="Z85" s="16" t="n">
        <x:f>IF(AND(N85="已计入",M85="是",M$7&lt;&gt;""),($Q85+IF(COUNTIFS($F85:M85,"是")&lt;=$R85,1,0))/100,0)</x:f>
        <x:v>0</x:v>
      </x:c>
    </x:row>
    <x:row r="86" ht="26" customHeight="1">
      <x:c r="A86" s="2" t="n">
        <x:v>79</x:v>
      </x:c>
      <x:c r="B86" s="14"/>
      <x:c r="C86" s="5"/>
      <x:c r="D86" s="5"/>
      <x:c r="E86" s="15"/>
      <x:c r="F86" s="12"/>
      <x:c r="G86" s="12"/>
      <x:c r="H86" s="12"/>
      <x:c r="I86" s="12"/>
      <x:c r="J86" s="12"/>
      <x:c r="K86" s="12"/>
      <x:c r="L86" s="12"/>
      <x:c r="M86" s="12"/>
      <x:c r="N86" s="13" t="str">
        <x:f>IF(COUNTA(B86:M86)=0,"",IF('成员设置'!$B$18&lt;2,"先设置至少2位成员",IF(COUNTIFS('成员设置'!$C$9:$C$16,"可用")&lt;&gt;'成员设置'!$B$18,"先修正成员昵称",IF(C86="","填写费用项目",IF(D86="","选择付款人",IF(COUNTIFS('成员设置'!$B$9:$B$16,D86)&lt;&gt;1,"付款人不在成员中",IF(ISBLANK(E86),"填写金额",IF(NOT(ISNUMBER(E86)),"金额须为数字",IF(E86&lt;0,"金额不能小于0",IF(E86&lt;&gt;ROUND(E86,2),"金额最多两位小数",IF(COUNTIFS(F86:M86,"是")&lt;&gt;O86,"未设成员列不能选是",IF(COUNTA(F86:M86)&lt;&gt;COUNTIFS(F86:M86,"是")+COUNTIFS(F86:M86,"否"),"参与列只填是或否",IF(AND(E86&gt;0,O86=0),"至少1位参与者","已计入")))))))))))))</x:f>
      </x:c>
      <x:c r="O86" s="17" t="n">
        <x:f>SUMPRODUCT((F86:M86="是")*(F$7:M$7&lt;&gt;""))</x:f>
        <x:v>0</x:v>
      </x:c>
      <x:c r="P86" s="17" t="n">
        <x:f>IF(N86="已计入",ROUND(E86*100,0),0)</x:f>
        <x:v>0</x:v>
      </x:c>
      <x:c r="Q86" s="17" t="n">
        <x:f>IF(O86=0,0,INT(P86/O86))</x:f>
        <x:v>0</x:v>
      </x:c>
      <x:c r="R86" s="17" t="n">
        <x:f>IF(O86=0,0,MOD(P86,O86))</x:f>
        <x:v>0</x:v>
      </x:c>
      <x:c r="S86" s="16" t="n">
        <x:f>IF(AND(N86="已计入",F86="是",F$7&lt;&gt;""),($Q86+IF(COUNTIFS($F86:F86,"是")&lt;=$R86,1,0))/100,0)</x:f>
        <x:v>0</x:v>
      </x:c>
      <x:c r="T86" s="16" t="n">
        <x:f>IF(AND(N86="已计入",G86="是",G$7&lt;&gt;""),($Q86+IF(COUNTIFS($F86:G86,"是")&lt;=$R86,1,0))/100,0)</x:f>
        <x:v>0</x:v>
      </x:c>
      <x:c r="U86" s="16" t="n">
        <x:f>IF(AND(N86="已计入",H86="是",H$7&lt;&gt;""),($Q86+IF(COUNTIFS($F86:H86,"是")&lt;=$R86,1,0))/100,0)</x:f>
        <x:v>0</x:v>
      </x:c>
      <x:c r="V86" s="16" t="n">
        <x:f>IF(AND(N86="已计入",I86="是",I$7&lt;&gt;""),($Q86+IF(COUNTIFS($F86:I86,"是")&lt;=$R86,1,0))/100,0)</x:f>
        <x:v>0</x:v>
      </x:c>
      <x:c r="W86" s="16" t="n">
        <x:f>IF(AND(N86="已计入",J86="是",J$7&lt;&gt;""),($Q86+IF(COUNTIFS($F86:J86,"是")&lt;=$R86,1,0))/100,0)</x:f>
        <x:v>0</x:v>
      </x:c>
      <x:c r="X86" s="16" t="n">
        <x:f>IF(AND(N86="已计入",K86="是",K$7&lt;&gt;""),($Q86+IF(COUNTIFS($F86:K86,"是")&lt;=$R86,1,0))/100,0)</x:f>
        <x:v>0</x:v>
      </x:c>
      <x:c r="Y86" s="16" t="n">
        <x:f>IF(AND(N86="已计入",L86="是",L$7&lt;&gt;""),($Q86+IF(COUNTIFS($F86:L86,"是")&lt;=$R86,1,0))/100,0)</x:f>
        <x:v>0</x:v>
      </x:c>
      <x:c r="Z86" s="16" t="n">
        <x:f>IF(AND(N86="已计入",M86="是",M$7&lt;&gt;""),($Q86+IF(COUNTIFS($F86:M86,"是")&lt;=$R86,1,0))/100,0)</x:f>
        <x:v>0</x:v>
      </x:c>
    </x:row>
    <x:row r="87" ht="26" customHeight="1">
      <x:c r="A87" s="2" t="n">
        <x:v>80</x:v>
      </x:c>
      <x:c r="B87" s="14"/>
      <x:c r="C87" s="5"/>
      <x:c r="D87" s="5"/>
      <x:c r="E87" s="15"/>
      <x:c r="F87" s="12"/>
      <x:c r="G87" s="12"/>
      <x:c r="H87" s="12"/>
      <x:c r="I87" s="12"/>
      <x:c r="J87" s="12"/>
      <x:c r="K87" s="12"/>
      <x:c r="L87" s="12"/>
      <x:c r="M87" s="12"/>
      <x:c r="N87" s="13" t="str">
        <x:f>IF(COUNTA(B87:M87)=0,"",IF('成员设置'!$B$18&lt;2,"先设置至少2位成员",IF(COUNTIFS('成员设置'!$C$9:$C$16,"可用")&lt;&gt;'成员设置'!$B$18,"先修正成员昵称",IF(C87="","填写费用项目",IF(D87="","选择付款人",IF(COUNTIFS('成员设置'!$B$9:$B$16,D87)&lt;&gt;1,"付款人不在成员中",IF(ISBLANK(E87),"填写金额",IF(NOT(ISNUMBER(E87)),"金额须为数字",IF(E87&lt;0,"金额不能小于0",IF(E87&lt;&gt;ROUND(E87,2),"金额最多两位小数",IF(COUNTIFS(F87:M87,"是")&lt;&gt;O87,"未设成员列不能选是",IF(COUNTA(F87:M87)&lt;&gt;COUNTIFS(F87:M87,"是")+COUNTIFS(F87:M87,"否"),"参与列只填是或否",IF(AND(E87&gt;0,O87=0),"至少1位参与者","已计入")))))))))))))</x:f>
      </x:c>
      <x:c r="O87" s="17" t="n">
        <x:f>SUMPRODUCT((F87:M87="是")*(F$7:M$7&lt;&gt;""))</x:f>
        <x:v>0</x:v>
      </x:c>
      <x:c r="P87" s="17" t="n">
        <x:f>IF(N87="已计入",ROUND(E87*100,0),0)</x:f>
        <x:v>0</x:v>
      </x:c>
      <x:c r="Q87" s="17" t="n">
        <x:f>IF(O87=0,0,INT(P87/O87))</x:f>
        <x:v>0</x:v>
      </x:c>
      <x:c r="R87" s="17" t="n">
        <x:f>IF(O87=0,0,MOD(P87,O87))</x:f>
        <x:v>0</x:v>
      </x:c>
      <x:c r="S87" s="16" t="n">
        <x:f>IF(AND(N87="已计入",F87="是",F$7&lt;&gt;""),($Q87+IF(COUNTIFS($F87:F87,"是")&lt;=$R87,1,0))/100,0)</x:f>
        <x:v>0</x:v>
      </x:c>
      <x:c r="T87" s="16" t="n">
        <x:f>IF(AND(N87="已计入",G87="是",G$7&lt;&gt;""),($Q87+IF(COUNTIFS($F87:G87,"是")&lt;=$R87,1,0))/100,0)</x:f>
        <x:v>0</x:v>
      </x:c>
      <x:c r="U87" s="16" t="n">
        <x:f>IF(AND(N87="已计入",H87="是",H$7&lt;&gt;""),($Q87+IF(COUNTIFS($F87:H87,"是")&lt;=$R87,1,0))/100,0)</x:f>
        <x:v>0</x:v>
      </x:c>
      <x:c r="V87" s="16" t="n">
        <x:f>IF(AND(N87="已计入",I87="是",I$7&lt;&gt;""),($Q87+IF(COUNTIFS($F87:I87,"是")&lt;=$R87,1,0))/100,0)</x:f>
        <x:v>0</x:v>
      </x:c>
      <x:c r="W87" s="16" t="n">
        <x:f>IF(AND(N87="已计入",J87="是",J$7&lt;&gt;""),($Q87+IF(COUNTIFS($F87:J87,"是")&lt;=$R87,1,0))/100,0)</x:f>
        <x:v>0</x:v>
      </x:c>
      <x:c r="X87" s="16" t="n">
        <x:f>IF(AND(N87="已计入",K87="是",K$7&lt;&gt;""),($Q87+IF(COUNTIFS($F87:K87,"是")&lt;=$R87,1,0))/100,0)</x:f>
        <x:v>0</x:v>
      </x:c>
      <x:c r="Y87" s="16" t="n">
        <x:f>IF(AND(N87="已计入",L87="是",L$7&lt;&gt;""),($Q87+IF(COUNTIFS($F87:L87,"是")&lt;=$R87,1,0))/100,0)</x:f>
        <x:v>0</x:v>
      </x:c>
      <x:c r="Z87" s="16" t="n">
        <x:f>IF(AND(N87="已计入",M87="是",M$7&lt;&gt;""),($Q87+IF(COUNTIFS($F87:M87,"是")&lt;=$R87,1,0))/100,0)</x:f>
        <x:v>0</x:v>
      </x:c>
    </x:row>
    <x:row r="88" ht="26" customHeight="1">
      <x:c r="A88" s="2" t="n">
        <x:v>81</x:v>
      </x:c>
      <x:c r="B88" s="14"/>
      <x:c r="C88" s="5"/>
      <x:c r="D88" s="5"/>
      <x:c r="E88" s="15"/>
      <x:c r="F88" s="12"/>
      <x:c r="G88" s="12"/>
      <x:c r="H88" s="12"/>
      <x:c r="I88" s="12"/>
      <x:c r="J88" s="12"/>
      <x:c r="K88" s="12"/>
      <x:c r="L88" s="12"/>
      <x:c r="M88" s="12"/>
      <x:c r="N88" s="13" t="str">
        <x:f>IF(COUNTA(B88:M88)=0,"",IF('成员设置'!$B$18&lt;2,"先设置至少2位成员",IF(COUNTIFS('成员设置'!$C$9:$C$16,"可用")&lt;&gt;'成员设置'!$B$18,"先修正成员昵称",IF(C88="","填写费用项目",IF(D88="","选择付款人",IF(COUNTIFS('成员设置'!$B$9:$B$16,D88)&lt;&gt;1,"付款人不在成员中",IF(ISBLANK(E88),"填写金额",IF(NOT(ISNUMBER(E88)),"金额须为数字",IF(E88&lt;0,"金额不能小于0",IF(E88&lt;&gt;ROUND(E88,2),"金额最多两位小数",IF(COUNTIFS(F88:M88,"是")&lt;&gt;O88,"未设成员列不能选是",IF(COUNTA(F88:M88)&lt;&gt;COUNTIFS(F88:M88,"是")+COUNTIFS(F88:M88,"否"),"参与列只填是或否",IF(AND(E88&gt;0,O88=0),"至少1位参与者","已计入")))))))))))))</x:f>
      </x:c>
      <x:c r="O88" s="17" t="n">
        <x:f>SUMPRODUCT((F88:M88="是")*(F$7:M$7&lt;&gt;""))</x:f>
        <x:v>0</x:v>
      </x:c>
      <x:c r="P88" s="17" t="n">
        <x:f>IF(N88="已计入",ROUND(E88*100,0),0)</x:f>
        <x:v>0</x:v>
      </x:c>
      <x:c r="Q88" s="17" t="n">
        <x:f>IF(O88=0,0,INT(P88/O88))</x:f>
        <x:v>0</x:v>
      </x:c>
      <x:c r="R88" s="17" t="n">
        <x:f>IF(O88=0,0,MOD(P88,O88))</x:f>
        <x:v>0</x:v>
      </x:c>
      <x:c r="S88" s="16" t="n">
        <x:f>IF(AND(N88="已计入",F88="是",F$7&lt;&gt;""),($Q88+IF(COUNTIFS($F88:F88,"是")&lt;=$R88,1,0))/100,0)</x:f>
        <x:v>0</x:v>
      </x:c>
      <x:c r="T88" s="16" t="n">
        <x:f>IF(AND(N88="已计入",G88="是",G$7&lt;&gt;""),($Q88+IF(COUNTIFS($F88:G88,"是")&lt;=$R88,1,0))/100,0)</x:f>
        <x:v>0</x:v>
      </x:c>
      <x:c r="U88" s="16" t="n">
        <x:f>IF(AND(N88="已计入",H88="是",H$7&lt;&gt;""),($Q88+IF(COUNTIFS($F88:H88,"是")&lt;=$R88,1,0))/100,0)</x:f>
        <x:v>0</x:v>
      </x:c>
      <x:c r="V88" s="16" t="n">
        <x:f>IF(AND(N88="已计入",I88="是",I$7&lt;&gt;""),($Q88+IF(COUNTIFS($F88:I88,"是")&lt;=$R88,1,0))/100,0)</x:f>
        <x:v>0</x:v>
      </x:c>
      <x:c r="W88" s="16" t="n">
        <x:f>IF(AND(N88="已计入",J88="是",J$7&lt;&gt;""),($Q88+IF(COUNTIFS($F88:J88,"是")&lt;=$R88,1,0))/100,0)</x:f>
        <x:v>0</x:v>
      </x:c>
      <x:c r="X88" s="16" t="n">
        <x:f>IF(AND(N88="已计入",K88="是",K$7&lt;&gt;""),($Q88+IF(COUNTIFS($F88:K88,"是")&lt;=$R88,1,0))/100,0)</x:f>
        <x:v>0</x:v>
      </x:c>
      <x:c r="Y88" s="16" t="n">
        <x:f>IF(AND(N88="已计入",L88="是",L$7&lt;&gt;""),($Q88+IF(COUNTIFS($F88:L88,"是")&lt;=$R88,1,0))/100,0)</x:f>
        <x:v>0</x:v>
      </x:c>
      <x:c r="Z88" s="16" t="n">
        <x:f>IF(AND(N88="已计入",M88="是",M$7&lt;&gt;""),($Q88+IF(COUNTIFS($F88:M88,"是")&lt;=$R88,1,0))/100,0)</x:f>
        <x:v>0</x:v>
      </x:c>
    </x:row>
    <x:row r="89" ht="26" customHeight="1">
      <x:c r="A89" s="2" t="n">
        <x:v>82</x:v>
      </x:c>
      <x:c r="B89" s="14"/>
      <x:c r="C89" s="5"/>
      <x:c r="D89" s="5"/>
      <x:c r="E89" s="15"/>
      <x:c r="F89" s="12"/>
      <x:c r="G89" s="12"/>
      <x:c r="H89" s="12"/>
      <x:c r="I89" s="12"/>
      <x:c r="J89" s="12"/>
      <x:c r="K89" s="12"/>
      <x:c r="L89" s="12"/>
      <x:c r="M89" s="12"/>
      <x:c r="N89" s="13" t="str">
        <x:f>IF(COUNTA(B89:M89)=0,"",IF('成员设置'!$B$18&lt;2,"先设置至少2位成员",IF(COUNTIFS('成员设置'!$C$9:$C$16,"可用")&lt;&gt;'成员设置'!$B$18,"先修正成员昵称",IF(C89="","填写费用项目",IF(D89="","选择付款人",IF(COUNTIFS('成员设置'!$B$9:$B$16,D89)&lt;&gt;1,"付款人不在成员中",IF(ISBLANK(E89),"填写金额",IF(NOT(ISNUMBER(E89)),"金额须为数字",IF(E89&lt;0,"金额不能小于0",IF(E89&lt;&gt;ROUND(E89,2),"金额最多两位小数",IF(COUNTIFS(F89:M89,"是")&lt;&gt;O89,"未设成员列不能选是",IF(COUNTA(F89:M89)&lt;&gt;COUNTIFS(F89:M89,"是")+COUNTIFS(F89:M89,"否"),"参与列只填是或否",IF(AND(E89&gt;0,O89=0),"至少1位参与者","已计入")))))))))))))</x:f>
      </x:c>
      <x:c r="O89" s="17" t="n">
        <x:f>SUMPRODUCT((F89:M89="是")*(F$7:M$7&lt;&gt;""))</x:f>
        <x:v>0</x:v>
      </x:c>
      <x:c r="P89" s="17" t="n">
        <x:f>IF(N89="已计入",ROUND(E89*100,0),0)</x:f>
        <x:v>0</x:v>
      </x:c>
      <x:c r="Q89" s="17" t="n">
        <x:f>IF(O89=0,0,INT(P89/O89))</x:f>
        <x:v>0</x:v>
      </x:c>
      <x:c r="R89" s="17" t="n">
        <x:f>IF(O89=0,0,MOD(P89,O89))</x:f>
        <x:v>0</x:v>
      </x:c>
      <x:c r="S89" s="16" t="n">
        <x:f>IF(AND(N89="已计入",F89="是",F$7&lt;&gt;""),($Q89+IF(COUNTIFS($F89:F89,"是")&lt;=$R89,1,0))/100,0)</x:f>
        <x:v>0</x:v>
      </x:c>
      <x:c r="T89" s="16" t="n">
        <x:f>IF(AND(N89="已计入",G89="是",G$7&lt;&gt;""),($Q89+IF(COUNTIFS($F89:G89,"是")&lt;=$R89,1,0))/100,0)</x:f>
        <x:v>0</x:v>
      </x:c>
      <x:c r="U89" s="16" t="n">
        <x:f>IF(AND(N89="已计入",H89="是",H$7&lt;&gt;""),($Q89+IF(COUNTIFS($F89:H89,"是")&lt;=$R89,1,0))/100,0)</x:f>
        <x:v>0</x:v>
      </x:c>
      <x:c r="V89" s="16" t="n">
        <x:f>IF(AND(N89="已计入",I89="是",I$7&lt;&gt;""),($Q89+IF(COUNTIFS($F89:I89,"是")&lt;=$R89,1,0))/100,0)</x:f>
        <x:v>0</x:v>
      </x:c>
      <x:c r="W89" s="16" t="n">
        <x:f>IF(AND(N89="已计入",J89="是",J$7&lt;&gt;""),($Q89+IF(COUNTIFS($F89:J89,"是")&lt;=$R89,1,0))/100,0)</x:f>
        <x:v>0</x:v>
      </x:c>
      <x:c r="X89" s="16" t="n">
        <x:f>IF(AND(N89="已计入",K89="是",K$7&lt;&gt;""),($Q89+IF(COUNTIFS($F89:K89,"是")&lt;=$R89,1,0))/100,0)</x:f>
        <x:v>0</x:v>
      </x:c>
      <x:c r="Y89" s="16" t="n">
        <x:f>IF(AND(N89="已计入",L89="是",L$7&lt;&gt;""),($Q89+IF(COUNTIFS($F89:L89,"是")&lt;=$R89,1,0))/100,0)</x:f>
        <x:v>0</x:v>
      </x:c>
      <x:c r="Z89" s="16" t="n">
        <x:f>IF(AND(N89="已计入",M89="是",M$7&lt;&gt;""),($Q89+IF(COUNTIFS($F89:M89,"是")&lt;=$R89,1,0))/100,0)</x:f>
        <x:v>0</x:v>
      </x:c>
    </x:row>
    <x:row r="90" ht="26" customHeight="1">
      <x:c r="A90" s="2" t="n">
        <x:v>83</x:v>
      </x:c>
      <x:c r="B90" s="14"/>
      <x:c r="C90" s="5"/>
      <x:c r="D90" s="5"/>
      <x:c r="E90" s="15"/>
      <x:c r="F90" s="12"/>
      <x:c r="G90" s="12"/>
      <x:c r="H90" s="12"/>
      <x:c r="I90" s="12"/>
      <x:c r="J90" s="12"/>
      <x:c r="K90" s="12"/>
      <x:c r="L90" s="12"/>
      <x:c r="M90" s="12"/>
      <x:c r="N90" s="13" t="str">
        <x:f>IF(COUNTA(B90:M90)=0,"",IF('成员设置'!$B$18&lt;2,"先设置至少2位成员",IF(COUNTIFS('成员设置'!$C$9:$C$16,"可用")&lt;&gt;'成员设置'!$B$18,"先修正成员昵称",IF(C90="","填写费用项目",IF(D90="","选择付款人",IF(COUNTIFS('成员设置'!$B$9:$B$16,D90)&lt;&gt;1,"付款人不在成员中",IF(ISBLANK(E90),"填写金额",IF(NOT(ISNUMBER(E90)),"金额须为数字",IF(E90&lt;0,"金额不能小于0",IF(E90&lt;&gt;ROUND(E90,2),"金额最多两位小数",IF(COUNTIFS(F90:M90,"是")&lt;&gt;O90,"未设成员列不能选是",IF(COUNTA(F90:M90)&lt;&gt;COUNTIFS(F90:M90,"是")+COUNTIFS(F90:M90,"否"),"参与列只填是或否",IF(AND(E90&gt;0,O90=0),"至少1位参与者","已计入")))))))))))))</x:f>
      </x:c>
      <x:c r="O90" s="17" t="n">
        <x:f>SUMPRODUCT((F90:M90="是")*(F$7:M$7&lt;&gt;""))</x:f>
        <x:v>0</x:v>
      </x:c>
      <x:c r="P90" s="17" t="n">
        <x:f>IF(N90="已计入",ROUND(E90*100,0),0)</x:f>
        <x:v>0</x:v>
      </x:c>
      <x:c r="Q90" s="17" t="n">
        <x:f>IF(O90=0,0,INT(P90/O90))</x:f>
        <x:v>0</x:v>
      </x:c>
      <x:c r="R90" s="17" t="n">
        <x:f>IF(O90=0,0,MOD(P90,O90))</x:f>
        <x:v>0</x:v>
      </x:c>
      <x:c r="S90" s="16" t="n">
        <x:f>IF(AND(N90="已计入",F90="是",F$7&lt;&gt;""),($Q90+IF(COUNTIFS($F90:F90,"是")&lt;=$R90,1,0))/100,0)</x:f>
        <x:v>0</x:v>
      </x:c>
      <x:c r="T90" s="16" t="n">
        <x:f>IF(AND(N90="已计入",G90="是",G$7&lt;&gt;""),($Q90+IF(COUNTIFS($F90:G90,"是")&lt;=$R90,1,0))/100,0)</x:f>
        <x:v>0</x:v>
      </x:c>
      <x:c r="U90" s="16" t="n">
        <x:f>IF(AND(N90="已计入",H90="是",H$7&lt;&gt;""),($Q90+IF(COUNTIFS($F90:H90,"是")&lt;=$R90,1,0))/100,0)</x:f>
        <x:v>0</x:v>
      </x:c>
      <x:c r="V90" s="16" t="n">
        <x:f>IF(AND(N90="已计入",I90="是",I$7&lt;&gt;""),($Q90+IF(COUNTIFS($F90:I90,"是")&lt;=$R90,1,0))/100,0)</x:f>
        <x:v>0</x:v>
      </x:c>
      <x:c r="W90" s="16" t="n">
        <x:f>IF(AND(N90="已计入",J90="是",J$7&lt;&gt;""),($Q90+IF(COUNTIFS($F90:J90,"是")&lt;=$R90,1,0))/100,0)</x:f>
        <x:v>0</x:v>
      </x:c>
      <x:c r="X90" s="16" t="n">
        <x:f>IF(AND(N90="已计入",K90="是",K$7&lt;&gt;""),($Q90+IF(COUNTIFS($F90:K90,"是")&lt;=$R90,1,0))/100,0)</x:f>
        <x:v>0</x:v>
      </x:c>
      <x:c r="Y90" s="16" t="n">
        <x:f>IF(AND(N90="已计入",L90="是",L$7&lt;&gt;""),($Q90+IF(COUNTIFS($F90:L90,"是")&lt;=$R90,1,0))/100,0)</x:f>
        <x:v>0</x:v>
      </x:c>
      <x:c r="Z90" s="16" t="n">
        <x:f>IF(AND(N90="已计入",M90="是",M$7&lt;&gt;""),($Q90+IF(COUNTIFS($F90:M90,"是")&lt;=$R90,1,0))/100,0)</x:f>
        <x:v>0</x:v>
      </x:c>
    </x:row>
    <x:row r="91" ht="26" customHeight="1">
      <x:c r="A91" s="2" t="n">
        <x:v>84</x:v>
      </x:c>
      <x:c r="B91" s="14"/>
      <x:c r="C91" s="5"/>
      <x:c r="D91" s="5"/>
      <x:c r="E91" s="15"/>
      <x:c r="F91" s="12"/>
      <x:c r="G91" s="12"/>
      <x:c r="H91" s="12"/>
      <x:c r="I91" s="12"/>
      <x:c r="J91" s="12"/>
      <x:c r="K91" s="12"/>
      <x:c r="L91" s="12"/>
      <x:c r="M91" s="12"/>
      <x:c r="N91" s="13" t="str">
        <x:f>IF(COUNTA(B91:M91)=0,"",IF('成员设置'!$B$18&lt;2,"先设置至少2位成员",IF(COUNTIFS('成员设置'!$C$9:$C$16,"可用")&lt;&gt;'成员设置'!$B$18,"先修正成员昵称",IF(C91="","填写费用项目",IF(D91="","选择付款人",IF(COUNTIFS('成员设置'!$B$9:$B$16,D91)&lt;&gt;1,"付款人不在成员中",IF(ISBLANK(E91),"填写金额",IF(NOT(ISNUMBER(E91)),"金额须为数字",IF(E91&lt;0,"金额不能小于0",IF(E91&lt;&gt;ROUND(E91,2),"金额最多两位小数",IF(COUNTIFS(F91:M91,"是")&lt;&gt;O91,"未设成员列不能选是",IF(COUNTA(F91:M91)&lt;&gt;COUNTIFS(F91:M91,"是")+COUNTIFS(F91:M91,"否"),"参与列只填是或否",IF(AND(E91&gt;0,O91=0),"至少1位参与者","已计入")))))))))))))</x:f>
      </x:c>
      <x:c r="O91" s="17" t="n">
        <x:f>SUMPRODUCT((F91:M91="是")*(F$7:M$7&lt;&gt;""))</x:f>
        <x:v>0</x:v>
      </x:c>
      <x:c r="P91" s="17" t="n">
        <x:f>IF(N91="已计入",ROUND(E91*100,0),0)</x:f>
        <x:v>0</x:v>
      </x:c>
      <x:c r="Q91" s="17" t="n">
        <x:f>IF(O91=0,0,INT(P91/O91))</x:f>
        <x:v>0</x:v>
      </x:c>
      <x:c r="R91" s="17" t="n">
        <x:f>IF(O91=0,0,MOD(P91,O91))</x:f>
        <x:v>0</x:v>
      </x:c>
      <x:c r="S91" s="16" t="n">
        <x:f>IF(AND(N91="已计入",F91="是",F$7&lt;&gt;""),($Q91+IF(COUNTIFS($F91:F91,"是")&lt;=$R91,1,0))/100,0)</x:f>
        <x:v>0</x:v>
      </x:c>
      <x:c r="T91" s="16" t="n">
        <x:f>IF(AND(N91="已计入",G91="是",G$7&lt;&gt;""),($Q91+IF(COUNTIFS($F91:G91,"是")&lt;=$R91,1,0))/100,0)</x:f>
        <x:v>0</x:v>
      </x:c>
      <x:c r="U91" s="16" t="n">
        <x:f>IF(AND(N91="已计入",H91="是",H$7&lt;&gt;""),($Q91+IF(COUNTIFS($F91:H91,"是")&lt;=$R91,1,0))/100,0)</x:f>
        <x:v>0</x:v>
      </x:c>
      <x:c r="V91" s="16" t="n">
        <x:f>IF(AND(N91="已计入",I91="是",I$7&lt;&gt;""),($Q91+IF(COUNTIFS($F91:I91,"是")&lt;=$R91,1,0))/100,0)</x:f>
        <x:v>0</x:v>
      </x:c>
      <x:c r="W91" s="16" t="n">
        <x:f>IF(AND(N91="已计入",J91="是",J$7&lt;&gt;""),($Q91+IF(COUNTIFS($F91:J91,"是")&lt;=$R91,1,0))/100,0)</x:f>
        <x:v>0</x:v>
      </x:c>
      <x:c r="X91" s="16" t="n">
        <x:f>IF(AND(N91="已计入",K91="是",K$7&lt;&gt;""),($Q91+IF(COUNTIFS($F91:K91,"是")&lt;=$R91,1,0))/100,0)</x:f>
        <x:v>0</x:v>
      </x:c>
      <x:c r="Y91" s="16" t="n">
        <x:f>IF(AND(N91="已计入",L91="是",L$7&lt;&gt;""),($Q91+IF(COUNTIFS($F91:L91,"是")&lt;=$R91,1,0))/100,0)</x:f>
        <x:v>0</x:v>
      </x:c>
      <x:c r="Z91" s="16" t="n">
        <x:f>IF(AND(N91="已计入",M91="是",M$7&lt;&gt;""),($Q91+IF(COUNTIFS($F91:M91,"是")&lt;=$R91,1,0))/100,0)</x:f>
        <x:v>0</x:v>
      </x:c>
    </x:row>
    <x:row r="92" ht="26" customHeight="1">
      <x:c r="A92" s="2" t="n">
        <x:v>85</x:v>
      </x:c>
      <x:c r="B92" s="14"/>
      <x:c r="C92" s="5"/>
      <x:c r="D92" s="5"/>
      <x:c r="E92" s="15"/>
      <x:c r="F92" s="12"/>
      <x:c r="G92" s="12"/>
      <x:c r="H92" s="12"/>
      <x:c r="I92" s="12"/>
      <x:c r="J92" s="12"/>
      <x:c r="K92" s="12"/>
      <x:c r="L92" s="12"/>
      <x:c r="M92" s="12"/>
      <x:c r="N92" s="13" t="str">
        <x:f>IF(COUNTA(B92:M92)=0,"",IF('成员设置'!$B$18&lt;2,"先设置至少2位成员",IF(COUNTIFS('成员设置'!$C$9:$C$16,"可用")&lt;&gt;'成员设置'!$B$18,"先修正成员昵称",IF(C92="","填写费用项目",IF(D92="","选择付款人",IF(COUNTIFS('成员设置'!$B$9:$B$16,D92)&lt;&gt;1,"付款人不在成员中",IF(ISBLANK(E92),"填写金额",IF(NOT(ISNUMBER(E92)),"金额须为数字",IF(E92&lt;0,"金额不能小于0",IF(E92&lt;&gt;ROUND(E92,2),"金额最多两位小数",IF(COUNTIFS(F92:M92,"是")&lt;&gt;O92,"未设成员列不能选是",IF(COUNTA(F92:M92)&lt;&gt;COUNTIFS(F92:M92,"是")+COUNTIFS(F92:M92,"否"),"参与列只填是或否",IF(AND(E92&gt;0,O92=0),"至少1位参与者","已计入")))))))))))))</x:f>
      </x:c>
      <x:c r="O92" s="17" t="n">
        <x:f>SUMPRODUCT((F92:M92="是")*(F$7:M$7&lt;&gt;""))</x:f>
        <x:v>0</x:v>
      </x:c>
      <x:c r="P92" s="17" t="n">
        <x:f>IF(N92="已计入",ROUND(E92*100,0),0)</x:f>
        <x:v>0</x:v>
      </x:c>
      <x:c r="Q92" s="17" t="n">
        <x:f>IF(O92=0,0,INT(P92/O92))</x:f>
        <x:v>0</x:v>
      </x:c>
      <x:c r="R92" s="17" t="n">
        <x:f>IF(O92=0,0,MOD(P92,O92))</x:f>
        <x:v>0</x:v>
      </x:c>
      <x:c r="S92" s="16" t="n">
        <x:f>IF(AND(N92="已计入",F92="是",F$7&lt;&gt;""),($Q92+IF(COUNTIFS($F92:F92,"是")&lt;=$R92,1,0))/100,0)</x:f>
        <x:v>0</x:v>
      </x:c>
      <x:c r="T92" s="16" t="n">
        <x:f>IF(AND(N92="已计入",G92="是",G$7&lt;&gt;""),($Q92+IF(COUNTIFS($F92:G92,"是")&lt;=$R92,1,0))/100,0)</x:f>
        <x:v>0</x:v>
      </x:c>
      <x:c r="U92" s="16" t="n">
        <x:f>IF(AND(N92="已计入",H92="是",H$7&lt;&gt;""),($Q92+IF(COUNTIFS($F92:H92,"是")&lt;=$R92,1,0))/100,0)</x:f>
        <x:v>0</x:v>
      </x:c>
      <x:c r="V92" s="16" t="n">
        <x:f>IF(AND(N92="已计入",I92="是",I$7&lt;&gt;""),($Q92+IF(COUNTIFS($F92:I92,"是")&lt;=$R92,1,0))/100,0)</x:f>
        <x:v>0</x:v>
      </x:c>
      <x:c r="W92" s="16" t="n">
        <x:f>IF(AND(N92="已计入",J92="是",J$7&lt;&gt;""),($Q92+IF(COUNTIFS($F92:J92,"是")&lt;=$R92,1,0))/100,0)</x:f>
        <x:v>0</x:v>
      </x:c>
      <x:c r="X92" s="16" t="n">
        <x:f>IF(AND(N92="已计入",K92="是",K$7&lt;&gt;""),($Q92+IF(COUNTIFS($F92:K92,"是")&lt;=$R92,1,0))/100,0)</x:f>
        <x:v>0</x:v>
      </x:c>
      <x:c r="Y92" s="16" t="n">
        <x:f>IF(AND(N92="已计入",L92="是",L$7&lt;&gt;""),($Q92+IF(COUNTIFS($F92:L92,"是")&lt;=$R92,1,0))/100,0)</x:f>
        <x:v>0</x:v>
      </x:c>
      <x:c r="Z92" s="16" t="n">
        <x:f>IF(AND(N92="已计入",M92="是",M$7&lt;&gt;""),($Q92+IF(COUNTIFS($F92:M92,"是")&lt;=$R92,1,0))/100,0)</x:f>
        <x:v>0</x:v>
      </x:c>
    </x:row>
    <x:row r="93" ht="26" customHeight="1">
      <x:c r="A93" s="2" t="n">
        <x:v>86</x:v>
      </x:c>
      <x:c r="B93" s="14"/>
      <x:c r="C93" s="5"/>
      <x:c r="D93" s="5"/>
      <x:c r="E93" s="15"/>
      <x:c r="F93" s="12"/>
      <x:c r="G93" s="12"/>
      <x:c r="H93" s="12"/>
      <x:c r="I93" s="12"/>
      <x:c r="J93" s="12"/>
      <x:c r="K93" s="12"/>
      <x:c r="L93" s="12"/>
      <x:c r="M93" s="12"/>
      <x:c r="N93" s="13" t="str">
        <x:f>IF(COUNTA(B93:M93)=0,"",IF('成员设置'!$B$18&lt;2,"先设置至少2位成员",IF(COUNTIFS('成员设置'!$C$9:$C$16,"可用")&lt;&gt;'成员设置'!$B$18,"先修正成员昵称",IF(C93="","填写费用项目",IF(D93="","选择付款人",IF(COUNTIFS('成员设置'!$B$9:$B$16,D93)&lt;&gt;1,"付款人不在成员中",IF(ISBLANK(E93),"填写金额",IF(NOT(ISNUMBER(E93)),"金额须为数字",IF(E93&lt;0,"金额不能小于0",IF(E93&lt;&gt;ROUND(E93,2),"金额最多两位小数",IF(COUNTIFS(F93:M93,"是")&lt;&gt;O93,"未设成员列不能选是",IF(COUNTA(F93:M93)&lt;&gt;COUNTIFS(F93:M93,"是")+COUNTIFS(F93:M93,"否"),"参与列只填是或否",IF(AND(E93&gt;0,O93=0),"至少1位参与者","已计入")))))))))))))</x:f>
      </x:c>
      <x:c r="O93" s="17" t="n">
        <x:f>SUMPRODUCT((F93:M93="是")*(F$7:M$7&lt;&gt;""))</x:f>
        <x:v>0</x:v>
      </x:c>
      <x:c r="P93" s="17" t="n">
        <x:f>IF(N93="已计入",ROUND(E93*100,0),0)</x:f>
        <x:v>0</x:v>
      </x:c>
      <x:c r="Q93" s="17" t="n">
        <x:f>IF(O93=0,0,INT(P93/O93))</x:f>
        <x:v>0</x:v>
      </x:c>
      <x:c r="R93" s="17" t="n">
        <x:f>IF(O93=0,0,MOD(P93,O93))</x:f>
        <x:v>0</x:v>
      </x:c>
      <x:c r="S93" s="16" t="n">
        <x:f>IF(AND(N93="已计入",F93="是",F$7&lt;&gt;""),($Q93+IF(COUNTIFS($F93:F93,"是")&lt;=$R93,1,0))/100,0)</x:f>
        <x:v>0</x:v>
      </x:c>
      <x:c r="T93" s="16" t="n">
        <x:f>IF(AND(N93="已计入",G93="是",G$7&lt;&gt;""),($Q93+IF(COUNTIFS($F93:G93,"是")&lt;=$R93,1,0))/100,0)</x:f>
        <x:v>0</x:v>
      </x:c>
      <x:c r="U93" s="16" t="n">
        <x:f>IF(AND(N93="已计入",H93="是",H$7&lt;&gt;""),($Q93+IF(COUNTIFS($F93:H93,"是")&lt;=$R93,1,0))/100,0)</x:f>
        <x:v>0</x:v>
      </x:c>
      <x:c r="V93" s="16" t="n">
        <x:f>IF(AND(N93="已计入",I93="是",I$7&lt;&gt;""),($Q93+IF(COUNTIFS($F93:I93,"是")&lt;=$R93,1,0))/100,0)</x:f>
        <x:v>0</x:v>
      </x:c>
      <x:c r="W93" s="16" t="n">
        <x:f>IF(AND(N93="已计入",J93="是",J$7&lt;&gt;""),($Q93+IF(COUNTIFS($F93:J93,"是")&lt;=$R93,1,0))/100,0)</x:f>
        <x:v>0</x:v>
      </x:c>
      <x:c r="X93" s="16" t="n">
        <x:f>IF(AND(N93="已计入",K93="是",K$7&lt;&gt;""),($Q93+IF(COUNTIFS($F93:K93,"是")&lt;=$R93,1,0))/100,0)</x:f>
        <x:v>0</x:v>
      </x:c>
      <x:c r="Y93" s="16" t="n">
        <x:f>IF(AND(N93="已计入",L93="是",L$7&lt;&gt;""),($Q93+IF(COUNTIFS($F93:L93,"是")&lt;=$R93,1,0))/100,0)</x:f>
        <x:v>0</x:v>
      </x:c>
      <x:c r="Z93" s="16" t="n">
        <x:f>IF(AND(N93="已计入",M93="是",M$7&lt;&gt;""),($Q93+IF(COUNTIFS($F93:M93,"是")&lt;=$R93,1,0))/100,0)</x:f>
        <x:v>0</x:v>
      </x:c>
    </x:row>
    <x:row r="94" ht="26" customHeight="1">
      <x:c r="A94" s="2" t="n">
        <x:v>87</x:v>
      </x:c>
      <x:c r="B94" s="14"/>
      <x:c r="C94" s="5"/>
      <x:c r="D94" s="5"/>
      <x:c r="E94" s="15"/>
      <x:c r="F94" s="12"/>
      <x:c r="G94" s="12"/>
      <x:c r="H94" s="12"/>
      <x:c r="I94" s="12"/>
      <x:c r="J94" s="12"/>
      <x:c r="K94" s="12"/>
      <x:c r="L94" s="12"/>
      <x:c r="M94" s="12"/>
      <x:c r="N94" s="13" t="str">
        <x:f>IF(COUNTA(B94:M94)=0,"",IF('成员设置'!$B$18&lt;2,"先设置至少2位成员",IF(COUNTIFS('成员设置'!$C$9:$C$16,"可用")&lt;&gt;'成员设置'!$B$18,"先修正成员昵称",IF(C94="","填写费用项目",IF(D94="","选择付款人",IF(COUNTIFS('成员设置'!$B$9:$B$16,D94)&lt;&gt;1,"付款人不在成员中",IF(ISBLANK(E94),"填写金额",IF(NOT(ISNUMBER(E94)),"金额须为数字",IF(E94&lt;0,"金额不能小于0",IF(E94&lt;&gt;ROUND(E94,2),"金额最多两位小数",IF(COUNTIFS(F94:M94,"是")&lt;&gt;O94,"未设成员列不能选是",IF(COUNTA(F94:M94)&lt;&gt;COUNTIFS(F94:M94,"是")+COUNTIFS(F94:M94,"否"),"参与列只填是或否",IF(AND(E94&gt;0,O94=0),"至少1位参与者","已计入")))))))))))))</x:f>
      </x:c>
      <x:c r="O94" s="17" t="n">
        <x:f>SUMPRODUCT((F94:M94="是")*(F$7:M$7&lt;&gt;""))</x:f>
        <x:v>0</x:v>
      </x:c>
      <x:c r="P94" s="17" t="n">
        <x:f>IF(N94="已计入",ROUND(E94*100,0),0)</x:f>
        <x:v>0</x:v>
      </x:c>
      <x:c r="Q94" s="17" t="n">
        <x:f>IF(O94=0,0,INT(P94/O94))</x:f>
        <x:v>0</x:v>
      </x:c>
      <x:c r="R94" s="17" t="n">
        <x:f>IF(O94=0,0,MOD(P94,O94))</x:f>
        <x:v>0</x:v>
      </x:c>
      <x:c r="S94" s="16" t="n">
        <x:f>IF(AND(N94="已计入",F94="是",F$7&lt;&gt;""),($Q94+IF(COUNTIFS($F94:F94,"是")&lt;=$R94,1,0))/100,0)</x:f>
        <x:v>0</x:v>
      </x:c>
      <x:c r="T94" s="16" t="n">
        <x:f>IF(AND(N94="已计入",G94="是",G$7&lt;&gt;""),($Q94+IF(COUNTIFS($F94:G94,"是")&lt;=$R94,1,0))/100,0)</x:f>
        <x:v>0</x:v>
      </x:c>
      <x:c r="U94" s="16" t="n">
        <x:f>IF(AND(N94="已计入",H94="是",H$7&lt;&gt;""),($Q94+IF(COUNTIFS($F94:H94,"是")&lt;=$R94,1,0))/100,0)</x:f>
        <x:v>0</x:v>
      </x:c>
      <x:c r="V94" s="16" t="n">
        <x:f>IF(AND(N94="已计入",I94="是",I$7&lt;&gt;""),($Q94+IF(COUNTIFS($F94:I94,"是")&lt;=$R94,1,0))/100,0)</x:f>
        <x:v>0</x:v>
      </x:c>
      <x:c r="W94" s="16" t="n">
        <x:f>IF(AND(N94="已计入",J94="是",J$7&lt;&gt;""),($Q94+IF(COUNTIFS($F94:J94,"是")&lt;=$R94,1,0))/100,0)</x:f>
        <x:v>0</x:v>
      </x:c>
      <x:c r="X94" s="16" t="n">
        <x:f>IF(AND(N94="已计入",K94="是",K$7&lt;&gt;""),($Q94+IF(COUNTIFS($F94:K94,"是")&lt;=$R94,1,0))/100,0)</x:f>
        <x:v>0</x:v>
      </x:c>
      <x:c r="Y94" s="16" t="n">
        <x:f>IF(AND(N94="已计入",L94="是",L$7&lt;&gt;""),($Q94+IF(COUNTIFS($F94:L94,"是")&lt;=$R94,1,0))/100,0)</x:f>
        <x:v>0</x:v>
      </x:c>
      <x:c r="Z94" s="16" t="n">
        <x:f>IF(AND(N94="已计入",M94="是",M$7&lt;&gt;""),($Q94+IF(COUNTIFS($F94:M94,"是")&lt;=$R94,1,0))/100,0)</x:f>
        <x:v>0</x:v>
      </x:c>
    </x:row>
    <x:row r="95" ht="26" customHeight="1">
      <x:c r="A95" s="2" t="n">
        <x:v>88</x:v>
      </x:c>
      <x:c r="B95" s="14"/>
      <x:c r="C95" s="5"/>
      <x:c r="D95" s="5"/>
      <x:c r="E95" s="15"/>
      <x:c r="F95" s="12"/>
      <x:c r="G95" s="12"/>
      <x:c r="H95" s="12"/>
      <x:c r="I95" s="12"/>
      <x:c r="J95" s="12"/>
      <x:c r="K95" s="12"/>
      <x:c r="L95" s="12"/>
      <x:c r="M95" s="12"/>
      <x:c r="N95" s="13" t="str">
        <x:f>IF(COUNTA(B95:M95)=0,"",IF('成员设置'!$B$18&lt;2,"先设置至少2位成员",IF(COUNTIFS('成员设置'!$C$9:$C$16,"可用")&lt;&gt;'成员设置'!$B$18,"先修正成员昵称",IF(C95="","填写费用项目",IF(D95="","选择付款人",IF(COUNTIFS('成员设置'!$B$9:$B$16,D95)&lt;&gt;1,"付款人不在成员中",IF(ISBLANK(E95),"填写金额",IF(NOT(ISNUMBER(E95)),"金额须为数字",IF(E95&lt;0,"金额不能小于0",IF(E95&lt;&gt;ROUND(E95,2),"金额最多两位小数",IF(COUNTIFS(F95:M95,"是")&lt;&gt;O95,"未设成员列不能选是",IF(COUNTA(F95:M95)&lt;&gt;COUNTIFS(F95:M95,"是")+COUNTIFS(F95:M95,"否"),"参与列只填是或否",IF(AND(E95&gt;0,O95=0),"至少1位参与者","已计入")))))))))))))</x:f>
      </x:c>
      <x:c r="O95" s="17" t="n">
        <x:f>SUMPRODUCT((F95:M95="是")*(F$7:M$7&lt;&gt;""))</x:f>
        <x:v>0</x:v>
      </x:c>
      <x:c r="P95" s="17" t="n">
        <x:f>IF(N95="已计入",ROUND(E95*100,0),0)</x:f>
        <x:v>0</x:v>
      </x:c>
      <x:c r="Q95" s="17" t="n">
        <x:f>IF(O95=0,0,INT(P95/O95))</x:f>
        <x:v>0</x:v>
      </x:c>
      <x:c r="R95" s="17" t="n">
        <x:f>IF(O95=0,0,MOD(P95,O95))</x:f>
        <x:v>0</x:v>
      </x:c>
      <x:c r="S95" s="16" t="n">
        <x:f>IF(AND(N95="已计入",F95="是",F$7&lt;&gt;""),($Q95+IF(COUNTIFS($F95:F95,"是")&lt;=$R95,1,0))/100,0)</x:f>
        <x:v>0</x:v>
      </x:c>
      <x:c r="T95" s="16" t="n">
        <x:f>IF(AND(N95="已计入",G95="是",G$7&lt;&gt;""),($Q95+IF(COUNTIFS($F95:G95,"是")&lt;=$R95,1,0))/100,0)</x:f>
        <x:v>0</x:v>
      </x:c>
      <x:c r="U95" s="16" t="n">
        <x:f>IF(AND(N95="已计入",H95="是",H$7&lt;&gt;""),($Q95+IF(COUNTIFS($F95:H95,"是")&lt;=$R95,1,0))/100,0)</x:f>
        <x:v>0</x:v>
      </x:c>
      <x:c r="V95" s="16" t="n">
        <x:f>IF(AND(N95="已计入",I95="是",I$7&lt;&gt;""),($Q95+IF(COUNTIFS($F95:I95,"是")&lt;=$R95,1,0))/100,0)</x:f>
        <x:v>0</x:v>
      </x:c>
      <x:c r="W95" s="16" t="n">
        <x:f>IF(AND(N95="已计入",J95="是",J$7&lt;&gt;""),($Q95+IF(COUNTIFS($F95:J95,"是")&lt;=$R95,1,0))/100,0)</x:f>
        <x:v>0</x:v>
      </x:c>
      <x:c r="X95" s="16" t="n">
        <x:f>IF(AND(N95="已计入",K95="是",K$7&lt;&gt;""),($Q95+IF(COUNTIFS($F95:K95,"是")&lt;=$R95,1,0))/100,0)</x:f>
        <x:v>0</x:v>
      </x:c>
      <x:c r="Y95" s="16" t="n">
        <x:f>IF(AND(N95="已计入",L95="是",L$7&lt;&gt;""),($Q95+IF(COUNTIFS($F95:L95,"是")&lt;=$R95,1,0))/100,0)</x:f>
        <x:v>0</x:v>
      </x:c>
      <x:c r="Z95" s="16" t="n">
        <x:f>IF(AND(N95="已计入",M95="是",M$7&lt;&gt;""),($Q95+IF(COUNTIFS($F95:M95,"是")&lt;=$R95,1,0))/100,0)</x:f>
        <x:v>0</x:v>
      </x:c>
    </x:row>
    <x:row r="96" ht="26" customHeight="1">
      <x:c r="A96" s="2" t="n">
        <x:v>89</x:v>
      </x:c>
      <x:c r="B96" s="14"/>
      <x:c r="C96" s="5"/>
      <x:c r="D96" s="5"/>
      <x:c r="E96" s="15"/>
      <x:c r="F96" s="12"/>
      <x:c r="G96" s="12"/>
      <x:c r="H96" s="12"/>
      <x:c r="I96" s="12"/>
      <x:c r="J96" s="12"/>
      <x:c r="K96" s="12"/>
      <x:c r="L96" s="12"/>
      <x:c r="M96" s="12"/>
      <x:c r="N96" s="13" t="str">
        <x:f>IF(COUNTA(B96:M96)=0,"",IF('成员设置'!$B$18&lt;2,"先设置至少2位成员",IF(COUNTIFS('成员设置'!$C$9:$C$16,"可用")&lt;&gt;'成员设置'!$B$18,"先修正成员昵称",IF(C96="","填写费用项目",IF(D96="","选择付款人",IF(COUNTIFS('成员设置'!$B$9:$B$16,D96)&lt;&gt;1,"付款人不在成员中",IF(ISBLANK(E96),"填写金额",IF(NOT(ISNUMBER(E96)),"金额须为数字",IF(E96&lt;0,"金额不能小于0",IF(E96&lt;&gt;ROUND(E96,2),"金额最多两位小数",IF(COUNTIFS(F96:M96,"是")&lt;&gt;O96,"未设成员列不能选是",IF(COUNTA(F96:M96)&lt;&gt;COUNTIFS(F96:M96,"是")+COUNTIFS(F96:M96,"否"),"参与列只填是或否",IF(AND(E96&gt;0,O96=0),"至少1位参与者","已计入")))))))))))))</x:f>
      </x:c>
      <x:c r="O96" s="17" t="n">
        <x:f>SUMPRODUCT((F96:M96="是")*(F$7:M$7&lt;&gt;""))</x:f>
        <x:v>0</x:v>
      </x:c>
      <x:c r="P96" s="17" t="n">
        <x:f>IF(N96="已计入",ROUND(E96*100,0),0)</x:f>
        <x:v>0</x:v>
      </x:c>
      <x:c r="Q96" s="17" t="n">
        <x:f>IF(O96=0,0,INT(P96/O96))</x:f>
        <x:v>0</x:v>
      </x:c>
      <x:c r="R96" s="17" t="n">
        <x:f>IF(O96=0,0,MOD(P96,O96))</x:f>
        <x:v>0</x:v>
      </x:c>
      <x:c r="S96" s="16" t="n">
        <x:f>IF(AND(N96="已计入",F96="是",F$7&lt;&gt;""),($Q96+IF(COUNTIFS($F96:F96,"是")&lt;=$R96,1,0))/100,0)</x:f>
        <x:v>0</x:v>
      </x:c>
      <x:c r="T96" s="16" t="n">
        <x:f>IF(AND(N96="已计入",G96="是",G$7&lt;&gt;""),($Q96+IF(COUNTIFS($F96:G96,"是")&lt;=$R96,1,0))/100,0)</x:f>
        <x:v>0</x:v>
      </x:c>
      <x:c r="U96" s="16" t="n">
        <x:f>IF(AND(N96="已计入",H96="是",H$7&lt;&gt;""),($Q96+IF(COUNTIFS($F96:H96,"是")&lt;=$R96,1,0))/100,0)</x:f>
        <x:v>0</x:v>
      </x:c>
      <x:c r="V96" s="16" t="n">
        <x:f>IF(AND(N96="已计入",I96="是",I$7&lt;&gt;""),($Q96+IF(COUNTIFS($F96:I96,"是")&lt;=$R96,1,0))/100,0)</x:f>
        <x:v>0</x:v>
      </x:c>
      <x:c r="W96" s="16" t="n">
        <x:f>IF(AND(N96="已计入",J96="是",J$7&lt;&gt;""),($Q96+IF(COUNTIFS($F96:J96,"是")&lt;=$R96,1,0))/100,0)</x:f>
        <x:v>0</x:v>
      </x:c>
      <x:c r="X96" s="16" t="n">
        <x:f>IF(AND(N96="已计入",K96="是",K$7&lt;&gt;""),($Q96+IF(COUNTIFS($F96:K96,"是")&lt;=$R96,1,0))/100,0)</x:f>
        <x:v>0</x:v>
      </x:c>
      <x:c r="Y96" s="16" t="n">
        <x:f>IF(AND(N96="已计入",L96="是",L$7&lt;&gt;""),($Q96+IF(COUNTIFS($F96:L96,"是")&lt;=$R96,1,0))/100,0)</x:f>
        <x:v>0</x:v>
      </x:c>
      <x:c r="Z96" s="16" t="n">
        <x:f>IF(AND(N96="已计入",M96="是",M$7&lt;&gt;""),($Q96+IF(COUNTIFS($F96:M96,"是")&lt;=$R96,1,0))/100,0)</x:f>
        <x:v>0</x:v>
      </x:c>
    </x:row>
    <x:row r="97" ht="26" customHeight="1">
      <x:c r="A97" s="2" t="n">
        <x:v>90</x:v>
      </x:c>
      <x:c r="B97" s="14"/>
      <x:c r="C97" s="5"/>
      <x:c r="D97" s="5"/>
      <x:c r="E97" s="15"/>
      <x:c r="F97" s="12"/>
      <x:c r="G97" s="12"/>
      <x:c r="H97" s="12"/>
      <x:c r="I97" s="12"/>
      <x:c r="J97" s="12"/>
      <x:c r="K97" s="12"/>
      <x:c r="L97" s="12"/>
      <x:c r="M97" s="12"/>
      <x:c r="N97" s="13" t="str">
        <x:f>IF(COUNTA(B97:M97)=0,"",IF('成员设置'!$B$18&lt;2,"先设置至少2位成员",IF(COUNTIFS('成员设置'!$C$9:$C$16,"可用")&lt;&gt;'成员设置'!$B$18,"先修正成员昵称",IF(C97="","填写费用项目",IF(D97="","选择付款人",IF(COUNTIFS('成员设置'!$B$9:$B$16,D97)&lt;&gt;1,"付款人不在成员中",IF(ISBLANK(E97),"填写金额",IF(NOT(ISNUMBER(E97)),"金额须为数字",IF(E97&lt;0,"金额不能小于0",IF(E97&lt;&gt;ROUND(E97,2),"金额最多两位小数",IF(COUNTIFS(F97:M97,"是")&lt;&gt;O97,"未设成员列不能选是",IF(COUNTA(F97:M97)&lt;&gt;COUNTIFS(F97:M97,"是")+COUNTIFS(F97:M97,"否"),"参与列只填是或否",IF(AND(E97&gt;0,O97=0),"至少1位参与者","已计入")))))))))))))</x:f>
      </x:c>
      <x:c r="O97" s="17" t="n">
        <x:f>SUMPRODUCT((F97:M97="是")*(F$7:M$7&lt;&gt;""))</x:f>
        <x:v>0</x:v>
      </x:c>
      <x:c r="P97" s="17" t="n">
        <x:f>IF(N97="已计入",ROUND(E97*100,0),0)</x:f>
        <x:v>0</x:v>
      </x:c>
      <x:c r="Q97" s="17" t="n">
        <x:f>IF(O97=0,0,INT(P97/O97))</x:f>
        <x:v>0</x:v>
      </x:c>
      <x:c r="R97" s="17" t="n">
        <x:f>IF(O97=0,0,MOD(P97,O97))</x:f>
        <x:v>0</x:v>
      </x:c>
      <x:c r="S97" s="16" t="n">
        <x:f>IF(AND(N97="已计入",F97="是",F$7&lt;&gt;""),($Q97+IF(COUNTIFS($F97:F97,"是")&lt;=$R97,1,0))/100,0)</x:f>
        <x:v>0</x:v>
      </x:c>
      <x:c r="T97" s="16" t="n">
        <x:f>IF(AND(N97="已计入",G97="是",G$7&lt;&gt;""),($Q97+IF(COUNTIFS($F97:G97,"是")&lt;=$R97,1,0))/100,0)</x:f>
        <x:v>0</x:v>
      </x:c>
      <x:c r="U97" s="16" t="n">
        <x:f>IF(AND(N97="已计入",H97="是",H$7&lt;&gt;""),($Q97+IF(COUNTIFS($F97:H97,"是")&lt;=$R97,1,0))/100,0)</x:f>
        <x:v>0</x:v>
      </x:c>
      <x:c r="V97" s="16" t="n">
        <x:f>IF(AND(N97="已计入",I97="是",I$7&lt;&gt;""),($Q97+IF(COUNTIFS($F97:I97,"是")&lt;=$R97,1,0))/100,0)</x:f>
        <x:v>0</x:v>
      </x:c>
      <x:c r="W97" s="16" t="n">
        <x:f>IF(AND(N97="已计入",J97="是",J$7&lt;&gt;""),($Q97+IF(COUNTIFS($F97:J97,"是")&lt;=$R97,1,0))/100,0)</x:f>
        <x:v>0</x:v>
      </x:c>
      <x:c r="X97" s="16" t="n">
        <x:f>IF(AND(N97="已计入",K97="是",K$7&lt;&gt;""),($Q97+IF(COUNTIFS($F97:K97,"是")&lt;=$R97,1,0))/100,0)</x:f>
        <x:v>0</x:v>
      </x:c>
      <x:c r="Y97" s="16" t="n">
        <x:f>IF(AND(N97="已计入",L97="是",L$7&lt;&gt;""),($Q97+IF(COUNTIFS($F97:L97,"是")&lt;=$R97,1,0))/100,0)</x:f>
        <x:v>0</x:v>
      </x:c>
      <x:c r="Z97" s="16" t="n">
        <x:f>IF(AND(N97="已计入",M97="是",M$7&lt;&gt;""),($Q97+IF(COUNTIFS($F97:M97,"是")&lt;=$R97,1,0))/100,0)</x:f>
        <x:v>0</x:v>
      </x:c>
    </x:row>
    <x:row r="98" ht="26" customHeight="1">
      <x:c r="A98" s="2" t="n">
        <x:v>91</x:v>
      </x:c>
      <x:c r="B98" s="14"/>
      <x:c r="C98" s="5"/>
      <x:c r="D98" s="5"/>
      <x:c r="E98" s="15"/>
      <x:c r="F98" s="12"/>
      <x:c r="G98" s="12"/>
      <x:c r="H98" s="12"/>
      <x:c r="I98" s="12"/>
      <x:c r="J98" s="12"/>
      <x:c r="K98" s="12"/>
      <x:c r="L98" s="12"/>
      <x:c r="M98" s="12"/>
      <x:c r="N98" s="13" t="str">
        <x:f>IF(COUNTA(B98:M98)=0,"",IF('成员设置'!$B$18&lt;2,"先设置至少2位成员",IF(COUNTIFS('成员设置'!$C$9:$C$16,"可用")&lt;&gt;'成员设置'!$B$18,"先修正成员昵称",IF(C98="","填写费用项目",IF(D98="","选择付款人",IF(COUNTIFS('成员设置'!$B$9:$B$16,D98)&lt;&gt;1,"付款人不在成员中",IF(ISBLANK(E98),"填写金额",IF(NOT(ISNUMBER(E98)),"金额须为数字",IF(E98&lt;0,"金额不能小于0",IF(E98&lt;&gt;ROUND(E98,2),"金额最多两位小数",IF(COUNTIFS(F98:M98,"是")&lt;&gt;O98,"未设成员列不能选是",IF(COUNTA(F98:M98)&lt;&gt;COUNTIFS(F98:M98,"是")+COUNTIFS(F98:M98,"否"),"参与列只填是或否",IF(AND(E98&gt;0,O98=0),"至少1位参与者","已计入")))))))))))))</x:f>
      </x:c>
      <x:c r="O98" s="17" t="n">
        <x:f>SUMPRODUCT((F98:M98="是")*(F$7:M$7&lt;&gt;""))</x:f>
        <x:v>0</x:v>
      </x:c>
      <x:c r="P98" s="17" t="n">
        <x:f>IF(N98="已计入",ROUND(E98*100,0),0)</x:f>
        <x:v>0</x:v>
      </x:c>
      <x:c r="Q98" s="17" t="n">
        <x:f>IF(O98=0,0,INT(P98/O98))</x:f>
        <x:v>0</x:v>
      </x:c>
      <x:c r="R98" s="17" t="n">
        <x:f>IF(O98=0,0,MOD(P98,O98))</x:f>
        <x:v>0</x:v>
      </x:c>
      <x:c r="S98" s="16" t="n">
        <x:f>IF(AND(N98="已计入",F98="是",F$7&lt;&gt;""),($Q98+IF(COUNTIFS($F98:F98,"是")&lt;=$R98,1,0))/100,0)</x:f>
        <x:v>0</x:v>
      </x:c>
      <x:c r="T98" s="16" t="n">
        <x:f>IF(AND(N98="已计入",G98="是",G$7&lt;&gt;""),($Q98+IF(COUNTIFS($F98:G98,"是")&lt;=$R98,1,0))/100,0)</x:f>
        <x:v>0</x:v>
      </x:c>
      <x:c r="U98" s="16" t="n">
        <x:f>IF(AND(N98="已计入",H98="是",H$7&lt;&gt;""),($Q98+IF(COUNTIFS($F98:H98,"是")&lt;=$R98,1,0))/100,0)</x:f>
        <x:v>0</x:v>
      </x:c>
      <x:c r="V98" s="16" t="n">
        <x:f>IF(AND(N98="已计入",I98="是",I$7&lt;&gt;""),($Q98+IF(COUNTIFS($F98:I98,"是")&lt;=$R98,1,0))/100,0)</x:f>
        <x:v>0</x:v>
      </x:c>
      <x:c r="W98" s="16" t="n">
        <x:f>IF(AND(N98="已计入",J98="是",J$7&lt;&gt;""),($Q98+IF(COUNTIFS($F98:J98,"是")&lt;=$R98,1,0))/100,0)</x:f>
        <x:v>0</x:v>
      </x:c>
      <x:c r="X98" s="16" t="n">
        <x:f>IF(AND(N98="已计入",K98="是",K$7&lt;&gt;""),($Q98+IF(COUNTIFS($F98:K98,"是")&lt;=$R98,1,0))/100,0)</x:f>
        <x:v>0</x:v>
      </x:c>
      <x:c r="Y98" s="16" t="n">
        <x:f>IF(AND(N98="已计入",L98="是",L$7&lt;&gt;""),($Q98+IF(COUNTIFS($F98:L98,"是")&lt;=$R98,1,0))/100,0)</x:f>
        <x:v>0</x:v>
      </x:c>
      <x:c r="Z98" s="16" t="n">
        <x:f>IF(AND(N98="已计入",M98="是",M$7&lt;&gt;""),($Q98+IF(COUNTIFS($F98:M98,"是")&lt;=$R98,1,0))/100,0)</x:f>
        <x:v>0</x:v>
      </x:c>
    </x:row>
    <x:row r="99" ht="26" customHeight="1">
      <x:c r="A99" s="2" t="n">
        <x:v>92</x:v>
      </x:c>
      <x:c r="B99" s="14"/>
      <x:c r="C99" s="5"/>
      <x:c r="D99" s="5"/>
      <x:c r="E99" s="15"/>
      <x:c r="F99" s="12"/>
      <x:c r="G99" s="12"/>
      <x:c r="H99" s="12"/>
      <x:c r="I99" s="12"/>
      <x:c r="J99" s="12"/>
      <x:c r="K99" s="12"/>
      <x:c r="L99" s="12"/>
      <x:c r="M99" s="12"/>
      <x:c r="N99" s="13" t="str">
        <x:f>IF(COUNTA(B99:M99)=0,"",IF('成员设置'!$B$18&lt;2,"先设置至少2位成员",IF(COUNTIFS('成员设置'!$C$9:$C$16,"可用")&lt;&gt;'成员设置'!$B$18,"先修正成员昵称",IF(C99="","填写费用项目",IF(D99="","选择付款人",IF(COUNTIFS('成员设置'!$B$9:$B$16,D99)&lt;&gt;1,"付款人不在成员中",IF(ISBLANK(E99),"填写金额",IF(NOT(ISNUMBER(E99)),"金额须为数字",IF(E99&lt;0,"金额不能小于0",IF(E99&lt;&gt;ROUND(E99,2),"金额最多两位小数",IF(COUNTIFS(F99:M99,"是")&lt;&gt;O99,"未设成员列不能选是",IF(COUNTA(F99:M99)&lt;&gt;COUNTIFS(F99:M99,"是")+COUNTIFS(F99:M99,"否"),"参与列只填是或否",IF(AND(E99&gt;0,O99=0),"至少1位参与者","已计入")))))))))))))</x:f>
      </x:c>
      <x:c r="O99" s="17" t="n">
        <x:f>SUMPRODUCT((F99:M99="是")*(F$7:M$7&lt;&gt;""))</x:f>
        <x:v>0</x:v>
      </x:c>
      <x:c r="P99" s="17" t="n">
        <x:f>IF(N99="已计入",ROUND(E99*100,0),0)</x:f>
        <x:v>0</x:v>
      </x:c>
      <x:c r="Q99" s="17" t="n">
        <x:f>IF(O99=0,0,INT(P99/O99))</x:f>
        <x:v>0</x:v>
      </x:c>
      <x:c r="R99" s="17" t="n">
        <x:f>IF(O99=0,0,MOD(P99,O99))</x:f>
        <x:v>0</x:v>
      </x:c>
      <x:c r="S99" s="16" t="n">
        <x:f>IF(AND(N99="已计入",F99="是",F$7&lt;&gt;""),($Q99+IF(COUNTIFS($F99:F99,"是")&lt;=$R99,1,0))/100,0)</x:f>
        <x:v>0</x:v>
      </x:c>
      <x:c r="T99" s="16" t="n">
        <x:f>IF(AND(N99="已计入",G99="是",G$7&lt;&gt;""),($Q99+IF(COUNTIFS($F99:G99,"是")&lt;=$R99,1,0))/100,0)</x:f>
        <x:v>0</x:v>
      </x:c>
      <x:c r="U99" s="16" t="n">
        <x:f>IF(AND(N99="已计入",H99="是",H$7&lt;&gt;""),($Q99+IF(COUNTIFS($F99:H99,"是")&lt;=$R99,1,0))/100,0)</x:f>
        <x:v>0</x:v>
      </x:c>
      <x:c r="V99" s="16" t="n">
        <x:f>IF(AND(N99="已计入",I99="是",I$7&lt;&gt;""),($Q99+IF(COUNTIFS($F99:I99,"是")&lt;=$R99,1,0))/100,0)</x:f>
        <x:v>0</x:v>
      </x:c>
      <x:c r="W99" s="16" t="n">
        <x:f>IF(AND(N99="已计入",J99="是",J$7&lt;&gt;""),($Q99+IF(COUNTIFS($F99:J99,"是")&lt;=$R99,1,0))/100,0)</x:f>
        <x:v>0</x:v>
      </x:c>
      <x:c r="X99" s="16" t="n">
        <x:f>IF(AND(N99="已计入",K99="是",K$7&lt;&gt;""),($Q99+IF(COUNTIFS($F99:K99,"是")&lt;=$R99,1,0))/100,0)</x:f>
        <x:v>0</x:v>
      </x:c>
      <x:c r="Y99" s="16" t="n">
        <x:f>IF(AND(N99="已计入",L99="是",L$7&lt;&gt;""),($Q99+IF(COUNTIFS($F99:L99,"是")&lt;=$R99,1,0))/100,0)</x:f>
        <x:v>0</x:v>
      </x:c>
      <x:c r="Z99" s="16" t="n">
        <x:f>IF(AND(N99="已计入",M99="是",M$7&lt;&gt;""),($Q99+IF(COUNTIFS($F99:M99,"是")&lt;=$R99,1,0))/100,0)</x:f>
        <x:v>0</x:v>
      </x:c>
    </x:row>
    <x:row r="100" ht="26" customHeight="1">
      <x:c r="A100" s="2" t="n">
        <x:v>93</x:v>
      </x:c>
      <x:c r="B100" s="14"/>
      <x:c r="C100" s="5"/>
      <x:c r="D100" s="5"/>
      <x:c r="E100" s="15"/>
      <x:c r="F100" s="12"/>
      <x:c r="G100" s="12"/>
      <x:c r="H100" s="12"/>
      <x:c r="I100" s="12"/>
      <x:c r="J100" s="12"/>
      <x:c r="K100" s="12"/>
      <x:c r="L100" s="12"/>
      <x:c r="M100" s="12"/>
      <x:c r="N100" s="13" t="str">
        <x:f>IF(COUNTA(B100:M100)=0,"",IF('成员设置'!$B$18&lt;2,"先设置至少2位成员",IF(COUNTIFS('成员设置'!$C$9:$C$16,"可用")&lt;&gt;'成员设置'!$B$18,"先修正成员昵称",IF(C100="","填写费用项目",IF(D100="","选择付款人",IF(COUNTIFS('成员设置'!$B$9:$B$16,D100)&lt;&gt;1,"付款人不在成员中",IF(ISBLANK(E100),"填写金额",IF(NOT(ISNUMBER(E100)),"金额须为数字",IF(E100&lt;0,"金额不能小于0",IF(E100&lt;&gt;ROUND(E100,2),"金额最多两位小数",IF(COUNTIFS(F100:M100,"是")&lt;&gt;O100,"未设成员列不能选是",IF(COUNTA(F100:M100)&lt;&gt;COUNTIFS(F100:M100,"是")+COUNTIFS(F100:M100,"否"),"参与列只填是或否",IF(AND(E100&gt;0,O100=0),"至少1位参与者","已计入")))))))))))))</x:f>
      </x:c>
      <x:c r="O100" s="17" t="n">
        <x:f>SUMPRODUCT((F100:M100="是")*(F$7:M$7&lt;&gt;""))</x:f>
        <x:v>0</x:v>
      </x:c>
      <x:c r="P100" s="17" t="n">
        <x:f>IF(N100="已计入",ROUND(E100*100,0),0)</x:f>
        <x:v>0</x:v>
      </x:c>
      <x:c r="Q100" s="17" t="n">
        <x:f>IF(O100=0,0,INT(P100/O100))</x:f>
        <x:v>0</x:v>
      </x:c>
      <x:c r="R100" s="17" t="n">
        <x:f>IF(O100=0,0,MOD(P100,O100))</x:f>
        <x:v>0</x:v>
      </x:c>
      <x:c r="S100" s="16" t="n">
        <x:f>IF(AND(N100="已计入",F100="是",F$7&lt;&gt;""),($Q100+IF(COUNTIFS($F100:F100,"是")&lt;=$R100,1,0))/100,0)</x:f>
        <x:v>0</x:v>
      </x:c>
      <x:c r="T100" s="16" t="n">
        <x:f>IF(AND(N100="已计入",G100="是",G$7&lt;&gt;""),($Q100+IF(COUNTIFS($F100:G100,"是")&lt;=$R100,1,0))/100,0)</x:f>
        <x:v>0</x:v>
      </x:c>
      <x:c r="U100" s="16" t="n">
        <x:f>IF(AND(N100="已计入",H100="是",H$7&lt;&gt;""),($Q100+IF(COUNTIFS($F100:H100,"是")&lt;=$R100,1,0))/100,0)</x:f>
        <x:v>0</x:v>
      </x:c>
      <x:c r="V100" s="16" t="n">
        <x:f>IF(AND(N100="已计入",I100="是",I$7&lt;&gt;""),($Q100+IF(COUNTIFS($F100:I100,"是")&lt;=$R100,1,0))/100,0)</x:f>
        <x:v>0</x:v>
      </x:c>
      <x:c r="W100" s="16" t="n">
        <x:f>IF(AND(N100="已计入",J100="是",J$7&lt;&gt;""),($Q100+IF(COUNTIFS($F100:J100,"是")&lt;=$R100,1,0))/100,0)</x:f>
        <x:v>0</x:v>
      </x:c>
      <x:c r="X100" s="16" t="n">
        <x:f>IF(AND(N100="已计入",K100="是",K$7&lt;&gt;""),($Q100+IF(COUNTIFS($F100:K100,"是")&lt;=$R100,1,0))/100,0)</x:f>
        <x:v>0</x:v>
      </x:c>
      <x:c r="Y100" s="16" t="n">
        <x:f>IF(AND(N100="已计入",L100="是",L$7&lt;&gt;""),($Q100+IF(COUNTIFS($F100:L100,"是")&lt;=$R100,1,0))/100,0)</x:f>
        <x:v>0</x:v>
      </x:c>
      <x:c r="Z100" s="16" t="n">
        <x:f>IF(AND(N100="已计入",M100="是",M$7&lt;&gt;""),($Q100+IF(COUNTIFS($F100:M100,"是")&lt;=$R100,1,0))/100,0)</x:f>
        <x:v>0</x:v>
      </x:c>
    </x:row>
    <x:row r="101" ht="26" customHeight="1">
      <x:c r="A101" s="2" t="n">
        <x:v>94</x:v>
      </x:c>
      <x:c r="B101" s="14"/>
      <x:c r="C101" s="5"/>
      <x:c r="D101" s="5"/>
      <x:c r="E101" s="15"/>
      <x:c r="F101" s="12"/>
      <x:c r="G101" s="12"/>
      <x:c r="H101" s="12"/>
      <x:c r="I101" s="12"/>
      <x:c r="J101" s="12"/>
      <x:c r="K101" s="12"/>
      <x:c r="L101" s="12"/>
      <x:c r="M101" s="12"/>
      <x:c r="N101" s="13" t="str">
        <x:f>IF(COUNTA(B101:M101)=0,"",IF('成员设置'!$B$18&lt;2,"先设置至少2位成员",IF(COUNTIFS('成员设置'!$C$9:$C$16,"可用")&lt;&gt;'成员设置'!$B$18,"先修正成员昵称",IF(C101="","填写费用项目",IF(D101="","选择付款人",IF(COUNTIFS('成员设置'!$B$9:$B$16,D101)&lt;&gt;1,"付款人不在成员中",IF(ISBLANK(E101),"填写金额",IF(NOT(ISNUMBER(E101)),"金额须为数字",IF(E101&lt;0,"金额不能小于0",IF(E101&lt;&gt;ROUND(E101,2),"金额最多两位小数",IF(COUNTIFS(F101:M101,"是")&lt;&gt;O101,"未设成员列不能选是",IF(COUNTA(F101:M101)&lt;&gt;COUNTIFS(F101:M101,"是")+COUNTIFS(F101:M101,"否"),"参与列只填是或否",IF(AND(E101&gt;0,O101=0),"至少1位参与者","已计入")))))))))))))</x:f>
      </x:c>
      <x:c r="O101" s="17" t="n">
        <x:f>SUMPRODUCT((F101:M101="是")*(F$7:M$7&lt;&gt;""))</x:f>
        <x:v>0</x:v>
      </x:c>
      <x:c r="P101" s="17" t="n">
        <x:f>IF(N101="已计入",ROUND(E101*100,0),0)</x:f>
        <x:v>0</x:v>
      </x:c>
      <x:c r="Q101" s="17" t="n">
        <x:f>IF(O101=0,0,INT(P101/O101))</x:f>
        <x:v>0</x:v>
      </x:c>
      <x:c r="R101" s="17" t="n">
        <x:f>IF(O101=0,0,MOD(P101,O101))</x:f>
        <x:v>0</x:v>
      </x:c>
      <x:c r="S101" s="16" t="n">
        <x:f>IF(AND(N101="已计入",F101="是",F$7&lt;&gt;""),($Q101+IF(COUNTIFS($F101:F101,"是")&lt;=$R101,1,0))/100,0)</x:f>
        <x:v>0</x:v>
      </x:c>
      <x:c r="T101" s="16" t="n">
        <x:f>IF(AND(N101="已计入",G101="是",G$7&lt;&gt;""),($Q101+IF(COUNTIFS($F101:G101,"是")&lt;=$R101,1,0))/100,0)</x:f>
        <x:v>0</x:v>
      </x:c>
      <x:c r="U101" s="16" t="n">
        <x:f>IF(AND(N101="已计入",H101="是",H$7&lt;&gt;""),($Q101+IF(COUNTIFS($F101:H101,"是")&lt;=$R101,1,0))/100,0)</x:f>
        <x:v>0</x:v>
      </x:c>
      <x:c r="V101" s="16" t="n">
        <x:f>IF(AND(N101="已计入",I101="是",I$7&lt;&gt;""),($Q101+IF(COUNTIFS($F101:I101,"是")&lt;=$R101,1,0))/100,0)</x:f>
        <x:v>0</x:v>
      </x:c>
      <x:c r="W101" s="16" t="n">
        <x:f>IF(AND(N101="已计入",J101="是",J$7&lt;&gt;""),($Q101+IF(COUNTIFS($F101:J101,"是")&lt;=$R101,1,0))/100,0)</x:f>
        <x:v>0</x:v>
      </x:c>
      <x:c r="X101" s="16" t="n">
        <x:f>IF(AND(N101="已计入",K101="是",K$7&lt;&gt;""),($Q101+IF(COUNTIFS($F101:K101,"是")&lt;=$R101,1,0))/100,0)</x:f>
        <x:v>0</x:v>
      </x:c>
      <x:c r="Y101" s="16" t="n">
        <x:f>IF(AND(N101="已计入",L101="是",L$7&lt;&gt;""),($Q101+IF(COUNTIFS($F101:L101,"是")&lt;=$R101,1,0))/100,0)</x:f>
        <x:v>0</x:v>
      </x:c>
      <x:c r="Z101" s="16" t="n">
        <x:f>IF(AND(N101="已计入",M101="是",M$7&lt;&gt;""),($Q101+IF(COUNTIFS($F101:M101,"是")&lt;=$R101,1,0))/100,0)</x:f>
        <x:v>0</x:v>
      </x:c>
    </x:row>
    <x:row r="102" ht="26" customHeight="1">
      <x:c r="A102" s="2" t="n">
        <x:v>95</x:v>
      </x:c>
      <x:c r="B102" s="14"/>
      <x:c r="C102" s="5"/>
      <x:c r="D102" s="5"/>
      <x:c r="E102" s="15"/>
      <x:c r="F102" s="12"/>
      <x:c r="G102" s="12"/>
      <x:c r="H102" s="12"/>
      <x:c r="I102" s="12"/>
      <x:c r="J102" s="12"/>
      <x:c r="K102" s="12"/>
      <x:c r="L102" s="12"/>
      <x:c r="M102" s="12"/>
      <x:c r="N102" s="13" t="str">
        <x:f>IF(COUNTA(B102:M102)=0,"",IF('成员设置'!$B$18&lt;2,"先设置至少2位成员",IF(COUNTIFS('成员设置'!$C$9:$C$16,"可用")&lt;&gt;'成员设置'!$B$18,"先修正成员昵称",IF(C102="","填写费用项目",IF(D102="","选择付款人",IF(COUNTIFS('成员设置'!$B$9:$B$16,D102)&lt;&gt;1,"付款人不在成员中",IF(ISBLANK(E102),"填写金额",IF(NOT(ISNUMBER(E102)),"金额须为数字",IF(E102&lt;0,"金额不能小于0",IF(E102&lt;&gt;ROUND(E102,2),"金额最多两位小数",IF(COUNTIFS(F102:M102,"是")&lt;&gt;O102,"未设成员列不能选是",IF(COUNTA(F102:M102)&lt;&gt;COUNTIFS(F102:M102,"是")+COUNTIFS(F102:M102,"否"),"参与列只填是或否",IF(AND(E102&gt;0,O102=0),"至少1位参与者","已计入")))))))))))))</x:f>
      </x:c>
      <x:c r="O102" s="17" t="n">
        <x:f>SUMPRODUCT((F102:M102="是")*(F$7:M$7&lt;&gt;""))</x:f>
        <x:v>0</x:v>
      </x:c>
      <x:c r="P102" s="17" t="n">
        <x:f>IF(N102="已计入",ROUND(E102*100,0),0)</x:f>
        <x:v>0</x:v>
      </x:c>
      <x:c r="Q102" s="17" t="n">
        <x:f>IF(O102=0,0,INT(P102/O102))</x:f>
        <x:v>0</x:v>
      </x:c>
      <x:c r="R102" s="17" t="n">
        <x:f>IF(O102=0,0,MOD(P102,O102))</x:f>
        <x:v>0</x:v>
      </x:c>
      <x:c r="S102" s="16" t="n">
        <x:f>IF(AND(N102="已计入",F102="是",F$7&lt;&gt;""),($Q102+IF(COUNTIFS($F102:F102,"是")&lt;=$R102,1,0))/100,0)</x:f>
        <x:v>0</x:v>
      </x:c>
      <x:c r="T102" s="16" t="n">
        <x:f>IF(AND(N102="已计入",G102="是",G$7&lt;&gt;""),($Q102+IF(COUNTIFS($F102:G102,"是")&lt;=$R102,1,0))/100,0)</x:f>
        <x:v>0</x:v>
      </x:c>
      <x:c r="U102" s="16" t="n">
        <x:f>IF(AND(N102="已计入",H102="是",H$7&lt;&gt;""),($Q102+IF(COUNTIFS($F102:H102,"是")&lt;=$R102,1,0))/100,0)</x:f>
        <x:v>0</x:v>
      </x:c>
      <x:c r="V102" s="16" t="n">
        <x:f>IF(AND(N102="已计入",I102="是",I$7&lt;&gt;""),($Q102+IF(COUNTIFS($F102:I102,"是")&lt;=$R102,1,0))/100,0)</x:f>
        <x:v>0</x:v>
      </x:c>
      <x:c r="W102" s="16" t="n">
        <x:f>IF(AND(N102="已计入",J102="是",J$7&lt;&gt;""),($Q102+IF(COUNTIFS($F102:J102,"是")&lt;=$R102,1,0))/100,0)</x:f>
        <x:v>0</x:v>
      </x:c>
      <x:c r="X102" s="16" t="n">
        <x:f>IF(AND(N102="已计入",K102="是",K$7&lt;&gt;""),($Q102+IF(COUNTIFS($F102:K102,"是")&lt;=$R102,1,0))/100,0)</x:f>
        <x:v>0</x:v>
      </x:c>
      <x:c r="Y102" s="16" t="n">
        <x:f>IF(AND(N102="已计入",L102="是",L$7&lt;&gt;""),($Q102+IF(COUNTIFS($F102:L102,"是")&lt;=$R102,1,0))/100,0)</x:f>
        <x:v>0</x:v>
      </x:c>
      <x:c r="Z102" s="16" t="n">
        <x:f>IF(AND(N102="已计入",M102="是",M$7&lt;&gt;""),($Q102+IF(COUNTIFS($F102:M102,"是")&lt;=$R102,1,0))/100,0)</x:f>
        <x:v>0</x:v>
      </x:c>
    </x:row>
    <x:row r="103" ht="26" customHeight="1">
      <x:c r="A103" s="2" t="n">
        <x:v>96</x:v>
      </x:c>
      <x:c r="B103" s="14"/>
      <x:c r="C103" s="5"/>
      <x:c r="D103" s="5"/>
      <x:c r="E103" s="15"/>
      <x:c r="F103" s="12"/>
      <x:c r="G103" s="12"/>
      <x:c r="H103" s="12"/>
      <x:c r="I103" s="12"/>
      <x:c r="J103" s="12"/>
      <x:c r="K103" s="12"/>
      <x:c r="L103" s="12"/>
      <x:c r="M103" s="12"/>
      <x:c r="N103" s="13" t="str">
        <x:f>IF(COUNTA(B103:M103)=0,"",IF('成员设置'!$B$18&lt;2,"先设置至少2位成员",IF(COUNTIFS('成员设置'!$C$9:$C$16,"可用")&lt;&gt;'成员设置'!$B$18,"先修正成员昵称",IF(C103="","填写费用项目",IF(D103="","选择付款人",IF(COUNTIFS('成员设置'!$B$9:$B$16,D103)&lt;&gt;1,"付款人不在成员中",IF(ISBLANK(E103),"填写金额",IF(NOT(ISNUMBER(E103)),"金额须为数字",IF(E103&lt;0,"金额不能小于0",IF(E103&lt;&gt;ROUND(E103,2),"金额最多两位小数",IF(COUNTIFS(F103:M103,"是")&lt;&gt;O103,"未设成员列不能选是",IF(COUNTA(F103:M103)&lt;&gt;COUNTIFS(F103:M103,"是")+COUNTIFS(F103:M103,"否"),"参与列只填是或否",IF(AND(E103&gt;0,O103=0),"至少1位参与者","已计入")))))))))))))</x:f>
      </x:c>
      <x:c r="O103" s="17" t="n">
        <x:f>SUMPRODUCT((F103:M103="是")*(F$7:M$7&lt;&gt;""))</x:f>
        <x:v>0</x:v>
      </x:c>
      <x:c r="P103" s="17" t="n">
        <x:f>IF(N103="已计入",ROUND(E103*100,0),0)</x:f>
        <x:v>0</x:v>
      </x:c>
      <x:c r="Q103" s="17" t="n">
        <x:f>IF(O103=0,0,INT(P103/O103))</x:f>
        <x:v>0</x:v>
      </x:c>
      <x:c r="R103" s="17" t="n">
        <x:f>IF(O103=0,0,MOD(P103,O103))</x:f>
        <x:v>0</x:v>
      </x:c>
      <x:c r="S103" s="16" t="n">
        <x:f>IF(AND(N103="已计入",F103="是",F$7&lt;&gt;""),($Q103+IF(COUNTIFS($F103:F103,"是")&lt;=$R103,1,0))/100,0)</x:f>
        <x:v>0</x:v>
      </x:c>
      <x:c r="T103" s="16" t="n">
        <x:f>IF(AND(N103="已计入",G103="是",G$7&lt;&gt;""),($Q103+IF(COUNTIFS($F103:G103,"是")&lt;=$R103,1,0))/100,0)</x:f>
        <x:v>0</x:v>
      </x:c>
      <x:c r="U103" s="16" t="n">
        <x:f>IF(AND(N103="已计入",H103="是",H$7&lt;&gt;""),($Q103+IF(COUNTIFS($F103:H103,"是")&lt;=$R103,1,0))/100,0)</x:f>
        <x:v>0</x:v>
      </x:c>
      <x:c r="V103" s="16" t="n">
        <x:f>IF(AND(N103="已计入",I103="是",I$7&lt;&gt;""),($Q103+IF(COUNTIFS($F103:I103,"是")&lt;=$R103,1,0))/100,0)</x:f>
        <x:v>0</x:v>
      </x:c>
      <x:c r="W103" s="16" t="n">
        <x:f>IF(AND(N103="已计入",J103="是",J$7&lt;&gt;""),($Q103+IF(COUNTIFS($F103:J103,"是")&lt;=$R103,1,0))/100,0)</x:f>
        <x:v>0</x:v>
      </x:c>
      <x:c r="X103" s="16" t="n">
        <x:f>IF(AND(N103="已计入",K103="是",K$7&lt;&gt;""),($Q103+IF(COUNTIFS($F103:K103,"是")&lt;=$R103,1,0))/100,0)</x:f>
        <x:v>0</x:v>
      </x:c>
      <x:c r="Y103" s="16" t="n">
        <x:f>IF(AND(N103="已计入",L103="是",L$7&lt;&gt;""),($Q103+IF(COUNTIFS($F103:L103,"是")&lt;=$R103,1,0))/100,0)</x:f>
        <x:v>0</x:v>
      </x:c>
      <x:c r="Z103" s="16" t="n">
        <x:f>IF(AND(N103="已计入",M103="是",M$7&lt;&gt;""),($Q103+IF(COUNTIFS($F103:M103,"是")&lt;=$R103,1,0))/100,0)</x:f>
        <x:v>0</x:v>
      </x:c>
    </x:row>
    <x:row r="104" ht="26" customHeight="1">
      <x:c r="A104" s="2" t="n">
        <x:v>97</x:v>
      </x:c>
      <x:c r="B104" s="14"/>
      <x:c r="C104" s="5"/>
      <x:c r="D104" s="5"/>
      <x:c r="E104" s="15"/>
      <x:c r="F104" s="12"/>
      <x:c r="G104" s="12"/>
      <x:c r="H104" s="12"/>
      <x:c r="I104" s="12"/>
      <x:c r="J104" s="12"/>
      <x:c r="K104" s="12"/>
      <x:c r="L104" s="12"/>
      <x:c r="M104" s="12"/>
      <x:c r="N104" s="13" t="str">
        <x:f>IF(COUNTA(B104:M104)=0,"",IF('成员设置'!$B$18&lt;2,"先设置至少2位成员",IF(COUNTIFS('成员设置'!$C$9:$C$16,"可用")&lt;&gt;'成员设置'!$B$18,"先修正成员昵称",IF(C104="","填写费用项目",IF(D104="","选择付款人",IF(COUNTIFS('成员设置'!$B$9:$B$16,D104)&lt;&gt;1,"付款人不在成员中",IF(ISBLANK(E104),"填写金额",IF(NOT(ISNUMBER(E104)),"金额须为数字",IF(E104&lt;0,"金额不能小于0",IF(E104&lt;&gt;ROUND(E104,2),"金额最多两位小数",IF(COUNTIFS(F104:M104,"是")&lt;&gt;O104,"未设成员列不能选是",IF(COUNTA(F104:M104)&lt;&gt;COUNTIFS(F104:M104,"是")+COUNTIFS(F104:M104,"否"),"参与列只填是或否",IF(AND(E104&gt;0,O104=0),"至少1位参与者","已计入")))))))))))))</x:f>
      </x:c>
      <x:c r="O104" s="17" t="n">
        <x:f>SUMPRODUCT((F104:M104="是")*(F$7:M$7&lt;&gt;""))</x:f>
        <x:v>0</x:v>
      </x:c>
      <x:c r="P104" s="17" t="n">
        <x:f>IF(N104="已计入",ROUND(E104*100,0),0)</x:f>
        <x:v>0</x:v>
      </x:c>
      <x:c r="Q104" s="17" t="n">
        <x:f>IF(O104=0,0,INT(P104/O104))</x:f>
        <x:v>0</x:v>
      </x:c>
      <x:c r="R104" s="17" t="n">
        <x:f>IF(O104=0,0,MOD(P104,O104))</x:f>
        <x:v>0</x:v>
      </x:c>
      <x:c r="S104" s="16" t="n">
        <x:f>IF(AND(N104="已计入",F104="是",F$7&lt;&gt;""),($Q104+IF(COUNTIFS($F104:F104,"是")&lt;=$R104,1,0))/100,0)</x:f>
        <x:v>0</x:v>
      </x:c>
      <x:c r="T104" s="16" t="n">
        <x:f>IF(AND(N104="已计入",G104="是",G$7&lt;&gt;""),($Q104+IF(COUNTIFS($F104:G104,"是")&lt;=$R104,1,0))/100,0)</x:f>
        <x:v>0</x:v>
      </x:c>
      <x:c r="U104" s="16" t="n">
        <x:f>IF(AND(N104="已计入",H104="是",H$7&lt;&gt;""),($Q104+IF(COUNTIFS($F104:H104,"是")&lt;=$R104,1,0))/100,0)</x:f>
        <x:v>0</x:v>
      </x:c>
      <x:c r="V104" s="16" t="n">
        <x:f>IF(AND(N104="已计入",I104="是",I$7&lt;&gt;""),($Q104+IF(COUNTIFS($F104:I104,"是")&lt;=$R104,1,0))/100,0)</x:f>
        <x:v>0</x:v>
      </x:c>
      <x:c r="W104" s="16" t="n">
        <x:f>IF(AND(N104="已计入",J104="是",J$7&lt;&gt;""),($Q104+IF(COUNTIFS($F104:J104,"是")&lt;=$R104,1,0))/100,0)</x:f>
        <x:v>0</x:v>
      </x:c>
      <x:c r="X104" s="16" t="n">
        <x:f>IF(AND(N104="已计入",K104="是",K$7&lt;&gt;""),($Q104+IF(COUNTIFS($F104:K104,"是")&lt;=$R104,1,0))/100,0)</x:f>
        <x:v>0</x:v>
      </x:c>
      <x:c r="Y104" s="16" t="n">
        <x:f>IF(AND(N104="已计入",L104="是",L$7&lt;&gt;""),($Q104+IF(COUNTIFS($F104:L104,"是")&lt;=$R104,1,0))/100,0)</x:f>
        <x:v>0</x:v>
      </x:c>
      <x:c r="Z104" s="16" t="n">
        <x:f>IF(AND(N104="已计入",M104="是",M$7&lt;&gt;""),($Q104+IF(COUNTIFS($F104:M104,"是")&lt;=$R104,1,0))/100,0)</x:f>
        <x:v>0</x:v>
      </x:c>
    </x:row>
    <x:row r="105" ht="26" customHeight="1">
      <x:c r="A105" s="2" t="n">
        <x:v>98</x:v>
      </x:c>
      <x:c r="B105" s="14"/>
      <x:c r="C105" s="5"/>
      <x:c r="D105" s="5"/>
      <x:c r="E105" s="15"/>
      <x:c r="F105" s="12"/>
      <x:c r="G105" s="12"/>
      <x:c r="H105" s="12"/>
      <x:c r="I105" s="12"/>
      <x:c r="J105" s="12"/>
      <x:c r="K105" s="12"/>
      <x:c r="L105" s="12"/>
      <x:c r="M105" s="12"/>
      <x:c r="N105" s="13" t="str">
        <x:f>IF(COUNTA(B105:M105)=0,"",IF('成员设置'!$B$18&lt;2,"先设置至少2位成员",IF(COUNTIFS('成员设置'!$C$9:$C$16,"可用")&lt;&gt;'成员设置'!$B$18,"先修正成员昵称",IF(C105="","填写费用项目",IF(D105="","选择付款人",IF(COUNTIFS('成员设置'!$B$9:$B$16,D105)&lt;&gt;1,"付款人不在成员中",IF(ISBLANK(E105),"填写金额",IF(NOT(ISNUMBER(E105)),"金额须为数字",IF(E105&lt;0,"金额不能小于0",IF(E105&lt;&gt;ROUND(E105,2),"金额最多两位小数",IF(COUNTIFS(F105:M105,"是")&lt;&gt;O105,"未设成员列不能选是",IF(COUNTA(F105:M105)&lt;&gt;COUNTIFS(F105:M105,"是")+COUNTIFS(F105:M105,"否"),"参与列只填是或否",IF(AND(E105&gt;0,O105=0),"至少1位参与者","已计入")))))))))))))</x:f>
      </x:c>
      <x:c r="O105" s="17" t="n">
        <x:f>SUMPRODUCT((F105:M105="是")*(F$7:M$7&lt;&gt;""))</x:f>
        <x:v>0</x:v>
      </x:c>
      <x:c r="P105" s="17" t="n">
        <x:f>IF(N105="已计入",ROUND(E105*100,0),0)</x:f>
        <x:v>0</x:v>
      </x:c>
      <x:c r="Q105" s="17" t="n">
        <x:f>IF(O105=0,0,INT(P105/O105))</x:f>
        <x:v>0</x:v>
      </x:c>
      <x:c r="R105" s="17" t="n">
        <x:f>IF(O105=0,0,MOD(P105,O105))</x:f>
        <x:v>0</x:v>
      </x:c>
      <x:c r="S105" s="16" t="n">
        <x:f>IF(AND(N105="已计入",F105="是",F$7&lt;&gt;""),($Q105+IF(COUNTIFS($F105:F105,"是")&lt;=$R105,1,0))/100,0)</x:f>
        <x:v>0</x:v>
      </x:c>
      <x:c r="T105" s="16" t="n">
        <x:f>IF(AND(N105="已计入",G105="是",G$7&lt;&gt;""),($Q105+IF(COUNTIFS($F105:G105,"是")&lt;=$R105,1,0))/100,0)</x:f>
        <x:v>0</x:v>
      </x:c>
      <x:c r="U105" s="16" t="n">
        <x:f>IF(AND(N105="已计入",H105="是",H$7&lt;&gt;""),($Q105+IF(COUNTIFS($F105:H105,"是")&lt;=$R105,1,0))/100,0)</x:f>
        <x:v>0</x:v>
      </x:c>
      <x:c r="V105" s="16" t="n">
        <x:f>IF(AND(N105="已计入",I105="是",I$7&lt;&gt;""),($Q105+IF(COUNTIFS($F105:I105,"是")&lt;=$R105,1,0))/100,0)</x:f>
        <x:v>0</x:v>
      </x:c>
      <x:c r="W105" s="16" t="n">
        <x:f>IF(AND(N105="已计入",J105="是",J$7&lt;&gt;""),($Q105+IF(COUNTIFS($F105:J105,"是")&lt;=$R105,1,0))/100,0)</x:f>
        <x:v>0</x:v>
      </x:c>
      <x:c r="X105" s="16" t="n">
        <x:f>IF(AND(N105="已计入",K105="是",K$7&lt;&gt;""),($Q105+IF(COUNTIFS($F105:K105,"是")&lt;=$R105,1,0))/100,0)</x:f>
        <x:v>0</x:v>
      </x:c>
      <x:c r="Y105" s="16" t="n">
        <x:f>IF(AND(N105="已计入",L105="是",L$7&lt;&gt;""),($Q105+IF(COUNTIFS($F105:L105,"是")&lt;=$R105,1,0))/100,0)</x:f>
        <x:v>0</x:v>
      </x:c>
      <x:c r="Z105" s="16" t="n">
        <x:f>IF(AND(N105="已计入",M105="是",M$7&lt;&gt;""),($Q105+IF(COUNTIFS($F105:M105,"是")&lt;=$R105,1,0))/100,0)</x:f>
        <x:v>0</x:v>
      </x:c>
    </x:row>
    <x:row r="106" ht="26" customHeight="1">
      <x:c r="A106" s="2" t="n">
        <x:v>99</x:v>
      </x:c>
      <x:c r="B106" s="14"/>
      <x:c r="C106" s="5"/>
      <x:c r="D106" s="5"/>
      <x:c r="E106" s="15"/>
      <x:c r="F106" s="12"/>
      <x:c r="G106" s="12"/>
      <x:c r="H106" s="12"/>
      <x:c r="I106" s="12"/>
      <x:c r="J106" s="12"/>
      <x:c r="K106" s="12"/>
      <x:c r="L106" s="12"/>
      <x:c r="M106" s="12"/>
      <x:c r="N106" s="13" t="str">
        <x:f>IF(COUNTA(B106:M106)=0,"",IF('成员设置'!$B$18&lt;2,"先设置至少2位成员",IF(COUNTIFS('成员设置'!$C$9:$C$16,"可用")&lt;&gt;'成员设置'!$B$18,"先修正成员昵称",IF(C106="","填写费用项目",IF(D106="","选择付款人",IF(COUNTIFS('成员设置'!$B$9:$B$16,D106)&lt;&gt;1,"付款人不在成员中",IF(ISBLANK(E106),"填写金额",IF(NOT(ISNUMBER(E106)),"金额须为数字",IF(E106&lt;0,"金额不能小于0",IF(E106&lt;&gt;ROUND(E106,2),"金额最多两位小数",IF(COUNTIFS(F106:M106,"是")&lt;&gt;O106,"未设成员列不能选是",IF(COUNTA(F106:M106)&lt;&gt;COUNTIFS(F106:M106,"是")+COUNTIFS(F106:M106,"否"),"参与列只填是或否",IF(AND(E106&gt;0,O106=0),"至少1位参与者","已计入")))))))))))))</x:f>
      </x:c>
      <x:c r="O106" s="17" t="n">
        <x:f>SUMPRODUCT((F106:M106="是")*(F$7:M$7&lt;&gt;""))</x:f>
        <x:v>0</x:v>
      </x:c>
      <x:c r="P106" s="17" t="n">
        <x:f>IF(N106="已计入",ROUND(E106*100,0),0)</x:f>
        <x:v>0</x:v>
      </x:c>
      <x:c r="Q106" s="17" t="n">
        <x:f>IF(O106=0,0,INT(P106/O106))</x:f>
        <x:v>0</x:v>
      </x:c>
      <x:c r="R106" s="17" t="n">
        <x:f>IF(O106=0,0,MOD(P106,O106))</x:f>
        <x:v>0</x:v>
      </x:c>
      <x:c r="S106" s="16" t="n">
        <x:f>IF(AND(N106="已计入",F106="是",F$7&lt;&gt;""),($Q106+IF(COUNTIFS($F106:F106,"是")&lt;=$R106,1,0))/100,0)</x:f>
        <x:v>0</x:v>
      </x:c>
      <x:c r="T106" s="16" t="n">
        <x:f>IF(AND(N106="已计入",G106="是",G$7&lt;&gt;""),($Q106+IF(COUNTIFS($F106:G106,"是")&lt;=$R106,1,0))/100,0)</x:f>
        <x:v>0</x:v>
      </x:c>
      <x:c r="U106" s="16" t="n">
        <x:f>IF(AND(N106="已计入",H106="是",H$7&lt;&gt;""),($Q106+IF(COUNTIFS($F106:H106,"是")&lt;=$R106,1,0))/100,0)</x:f>
        <x:v>0</x:v>
      </x:c>
      <x:c r="V106" s="16" t="n">
        <x:f>IF(AND(N106="已计入",I106="是",I$7&lt;&gt;""),($Q106+IF(COUNTIFS($F106:I106,"是")&lt;=$R106,1,0))/100,0)</x:f>
        <x:v>0</x:v>
      </x:c>
      <x:c r="W106" s="16" t="n">
        <x:f>IF(AND(N106="已计入",J106="是",J$7&lt;&gt;""),($Q106+IF(COUNTIFS($F106:J106,"是")&lt;=$R106,1,0))/100,0)</x:f>
        <x:v>0</x:v>
      </x:c>
      <x:c r="X106" s="16" t="n">
        <x:f>IF(AND(N106="已计入",K106="是",K$7&lt;&gt;""),($Q106+IF(COUNTIFS($F106:K106,"是")&lt;=$R106,1,0))/100,0)</x:f>
        <x:v>0</x:v>
      </x:c>
      <x:c r="Y106" s="16" t="n">
        <x:f>IF(AND(N106="已计入",L106="是",L$7&lt;&gt;""),($Q106+IF(COUNTIFS($F106:L106,"是")&lt;=$R106,1,0))/100,0)</x:f>
        <x:v>0</x:v>
      </x:c>
      <x:c r="Z106" s="16" t="n">
        <x:f>IF(AND(N106="已计入",M106="是",M$7&lt;&gt;""),($Q106+IF(COUNTIFS($F106:M106,"是")&lt;=$R106,1,0))/100,0)</x:f>
        <x:v>0</x:v>
      </x:c>
    </x:row>
    <x:row r="107" ht="26" customHeight="1">
      <x:c r="A107" s="2" t="n">
        <x:v>100</x:v>
      </x:c>
      <x:c r="B107" s="14"/>
      <x:c r="C107" s="5"/>
      <x:c r="D107" s="5"/>
      <x:c r="E107" s="15"/>
      <x:c r="F107" s="12"/>
      <x:c r="G107" s="12"/>
      <x:c r="H107" s="12"/>
      <x:c r="I107" s="12"/>
      <x:c r="J107" s="12"/>
      <x:c r="K107" s="12"/>
      <x:c r="L107" s="12"/>
      <x:c r="M107" s="12"/>
      <x:c r="N107" s="13" t="str">
        <x:f>IF(COUNTA(B107:M107)=0,"",IF('成员设置'!$B$18&lt;2,"先设置至少2位成员",IF(COUNTIFS('成员设置'!$C$9:$C$16,"可用")&lt;&gt;'成员设置'!$B$18,"先修正成员昵称",IF(C107="","填写费用项目",IF(D107="","选择付款人",IF(COUNTIFS('成员设置'!$B$9:$B$16,D107)&lt;&gt;1,"付款人不在成员中",IF(ISBLANK(E107),"填写金额",IF(NOT(ISNUMBER(E107)),"金额须为数字",IF(E107&lt;0,"金额不能小于0",IF(E107&lt;&gt;ROUND(E107,2),"金额最多两位小数",IF(COUNTIFS(F107:M107,"是")&lt;&gt;O107,"未设成员列不能选是",IF(COUNTA(F107:M107)&lt;&gt;COUNTIFS(F107:M107,"是")+COUNTIFS(F107:M107,"否"),"参与列只填是或否",IF(AND(E107&gt;0,O107=0),"至少1位参与者","已计入")))))))))))))</x:f>
      </x:c>
      <x:c r="O107" s="17" t="n">
        <x:f>SUMPRODUCT((F107:M107="是")*(F$7:M$7&lt;&gt;""))</x:f>
        <x:v>0</x:v>
      </x:c>
      <x:c r="P107" s="17" t="n">
        <x:f>IF(N107="已计入",ROUND(E107*100,0),0)</x:f>
        <x:v>0</x:v>
      </x:c>
      <x:c r="Q107" s="17" t="n">
        <x:f>IF(O107=0,0,INT(P107/O107))</x:f>
        <x:v>0</x:v>
      </x:c>
      <x:c r="R107" s="17" t="n">
        <x:f>IF(O107=0,0,MOD(P107,O107))</x:f>
        <x:v>0</x:v>
      </x:c>
      <x:c r="S107" s="16" t="n">
        <x:f>IF(AND(N107="已计入",F107="是",F$7&lt;&gt;""),($Q107+IF(COUNTIFS($F107:F107,"是")&lt;=$R107,1,0))/100,0)</x:f>
        <x:v>0</x:v>
      </x:c>
      <x:c r="T107" s="16" t="n">
        <x:f>IF(AND(N107="已计入",G107="是",G$7&lt;&gt;""),($Q107+IF(COUNTIFS($F107:G107,"是")&lt;=$R107,1,0))/100,0)</x:f>
        <x:v>0</x:v>
      </x:c>
      <x:c r="U107" s="16" t="n">
        <x:f>IF(AND(N107="已计入",H107="是",H$7&lt;&gt;""),($Q107+IF(COUNTIFS($F107:H107,"是")&lt;=$R107,1,0))/100,0)</x:f>
        <x:v>0</x:v>
      </x:c>
      <x:c r="V107" s="16" t="n">
        <x:f>IF(AND(N107="已计入",I107="是",I$7&lt;&gt;""),($Q107+IF(COUNTIFS($F107:I107,"是")&lt;=$R107,1,0))/100,0)</x:f>
        <x:v>0</x:v>
      </x:c>
      <x:c r="W107" s="16" t="n">
        <x:f>IF(AND(N107="已计入",J107="是",J$7&lt;&gt;""),($Q107+IF(COUNTIFS($F107:J107,"是")&lt;=$R107,1,0))/100,0)</x:f>
        <x:v>0</x:v>
      </x:c>
      <x:c r="X107" s="16" t="n">
        <x:f>IF(AND(N107="已计入",K107="是",K$7&lt;&gt;""),($Q107+IF(COUNTIFS($F107:K107,"是")&lt;=$R107,1,0))/100,0)</x:f>
        <x:v>0</x:v>
      </x:c>
      <x:c r="Y107" s="16" t="n">
        <x:f>IF(AND(N107="已计入",L107="是",L$7&lt;&gt;""),($Q107+IF(COUNTIFS($F107:L107,"是")&lt;=$R107,1,0))/100,0)</x:f>
        <x:v>0</x:v>
      </x:c>
      <x:c r="Z107" s="16" t="n">
        <x:f>IF(AND(N107="已计入",M107="是",M$7&lt;&gt;""),($Q107+IF(COUNTIFS($F107:M107,"是")&lt;=$R107,1,0))/100,0)</x:f>
        <x:v>0</x:v>
      </x:c>
    </x:row>
    <x:row r="108" ht="26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26" customHeight="1">
      <x:c r="A109" s="4" t="str">
        <x:v>第100笔在第107行。不要在范围外追加，或覆盖、删除灰色公式。</x:v>
      </x:c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26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</x:sheetData>
  <x:conditionalFormatting sqref="N8:N107">
    <x:cfRule type="expression" dxfId="2" priority="1">
      <x:formula>AND(N8&lt;&gt;"",N8&lt;&gt;"已计入")</x:formula>
    </x:cfRule>
  </x:conditionalFormatting>
  <x:dataValidations count="3">
    <x:dataValidation type="list" errorStyle="stop" showErrorMessage="1" errorTitle="请选择成员" error="付款人必须从成员设置中的昵称选择。" sqref="D8:D107">
      <x:formula1>INDIRECT("'成员设置'!$B$9:$B$16")</x:formula1>
    </x:dataValidation>
    <x:dataValidation type="decimal" errorStyle="stop" operator="greaterThanOrEqual" showErrorMessage="1" errorTitle="金额无效" error="请输入大于或等于0的金额，最多保留两位小数。" sqref="E8:E107">
      <x:formula1>0</x:formula1>
    </x:dataValidation>
    <x:dataValidation type="list" errorStyle="stop" showErrorMessage="1" errorTitle="参与状态无效" error="请选择“是”或“否”。空白按不参与处理。" sqref="F8:M107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2B7C3"/>
  </x:sheetPr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5" customHeight="1">
      <x:c r="A2" s="3" t="str">
        <x:v>三人示例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6" customHeight="1">
      <x:c r="A3" s="4" t="str">
        <x:v>小林、小周、小陈均为虚构昵称。以下仅演示，不计入空白模板。单位：人民币元。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6" customHeight="1">
      <x:c r="A4" s="4" t="str">
        <x:v>100元三人分摊：按成员顺序为33.34、33.33、33.33元。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5" customHeight="1">
      <x:c r="A6" s="9" t="str">
        <x:v>费用项目</x:v>
      </x:c>
      <x:c r="B6" s="9" t="str">
        <x:v>付款人</x:v>
      </x:c>
      <x:c r="C6" s="9" t="str">
        <x:v>金额</x:v>
      </x:c>
      <x:c r="D6" s="9" t="str">
        <x:v>小林参与</x:v>
      </x:c>
      <x:c r="E6" s="9" t="str">
        <x:v>小周参与</x:v>
      </x:c>
      <x:c r="F6" s="9" t="str">
        <x:v>小陈参与</x:v>
      </x:c>
      <x:c r="G6" s="9" t="str">
        <x:v>小林分摊</x:v>
      </x:c>
      <x:c r="H6" s="9" t="str">
        <x:v>小周分摊</x:v>
      </x:c>
      <x:c r="I6" s="9" t="str">
        <x:v>小陈分摊</x:v>
      </x:c>
      <x:c r="J6" s="9" t="str">
        <x:v>参与人数</x:v>
      </x:c>
    </x:row>
    <x:row r="7" ht="26" customHeight="1">
      <x:c r="A7" s="5" t="str">
        <x:v>住宿</x:v>
      </x:c>
      <x:c r="B7" s="5" t="str">
        <x:v>小林</x:v>
      </x:c>
      <x:c r="C7" s="15" t="n">
        <x:v>300</x:v>
      </x:c>
      <x:c r="D7" s="12" t="str">
        <x:v>是</x:v>
      </x:c>
      <x:c r="E7" s="12" t="str">
        <x:v>是</x:v>
      </x:c>
      <x:c r="F7" s="12" t="str">
        <x:v>是</x:v>
      </x:c>
      <x:c r="G7" s="16" t="n">
        <x:f>IF(D7="是",(INT(ROUND($C7*100,0)/$J7)+IF(COUNTIFS($D7:D7,"是")&lt;=MOD(ROUND($C7*100,0),$J7),1,0))/100,0)</x:f>
        <x:v>100</x:v>
      </x:c>
      <x:c r="H7" s="16" t="n">
        <x:f>IF(E7="是",(INT(ROUND($C7*100,0)/$J7)+IF(COUNTIFS($D7:E7,"是")&lt;=MOD(ROUND($C7*100,0),$J7),1,0))/100,0)</x:f>
        <x:v>100</x:v>
      </x:c>
      <x:c r="I7" s="16" t="n">
        <x:f>IF(F7="是",(INT(ROUND($C7*100,0)/$J7)+IF(COUNTIFS($D7:F7,"是")&lt;=MOD(ROUND($C7*100,0),$J7),1,0))/100,0)</x:f>
        <x:v>100</x:v>
      </x:c>
      <x:c r="J7" s="13" t="n">
        <x:f>COUNTIFS(D7:F7,"是")</x:f>
        <x:v>3</x:v>
      </x:c>
    </x:row>
    <x:row r="8" ht="26" customHeight="1">
      <x:c r="A8" s="5" t="str">
        <x:v>两人晚餐</x:v>
      </x:c>
      <x:c r="B8" s="5" t="str">
        <x:v>小周</x:v>
      </x:c>
      <x:c r="C8" s="15" t="n">
        <x:v>120</x:v>
      </x:c>
      <x:c r="D8" s="12" t="str">
        <x:v>是</x:v>
      </x:c>
      <x:c r="E8" s="12" t="str">
        <x:v>是</x:v>
      </x:c>
      <x:c r="F8" s="12" t="str">
        <x:v>否</x:v>
      </x:c>
      <x:c r="G8" s="16" t="n">
        <x:f>IF(D8="是",(INT(ROUND($C8*100,0)/$J8)+IF(COUNTIFS($D8:D8,"是")&lt;=MOD(ROUND($C8*100,0),$J8),1,0))/100,0)</x:f>
        <x:v>60</x:v>
      </x:c>
      <x:c r="H8" s="16" t="n">
        <x:f>IF(E8="是",(INT(ROUND($C8*100,0)/$J8)+IF(COUNTIFS($D8:E8,"是")&lt;=MOD(ROUND($C8*100,0),$J8),1,0))/100,0)</x:f>
        <x:v>60</x:v>
      </x:c>
      <x:c r="I8" s="16" t="n">
        <x:f>IF(F8="是",(INT(ROUND($C8*100,0)/$J8)+IF(COUNTIFS($D8:F8,"是")&lt;=MOD(ROUND($C8*100,0),$J8),1,0))/100,0)</x:f>
        <x:v>0</x:v>
      </x:c>
      <x:c r="J8" s="13" t="n">
        <x:f>COUNTIFS(D8:F8,"是")</x:f>
        <x:v>2</x:v>
      </x:c>
    </x:row>
    <x:row r="9" ht="26" customHeight="1">
      <x:c r="A9" s="5" t="str">
        <x:v>代付门票</x:v>
      </x:c>
      <x:c r="B9" s="5" t="str">
        <x:v>小陈</x:v>
      </x:c>
      <x:c r="C9" s="15" t="n">
        <x:v>100</x:v>
      </x:c>
      <x:c r="D9" s="12" t="str">
        <x:v>是</x:v>
      </x:c>
      <x:c r="E9" s="12" t="str">
        <x:v>是</x:v>
      </x:c>
      <x:c r="F9" s="12" t="str">
        <x:v>否</x:v>
      </x:c>
      <x:c r="G9" s="16" t="n">
        <x:f>IF(D9="是",(INT(ROUND($C9*100,0)/$J9)+IF(COUNTIFS($D9:D9,"是")&lt;=MOD(ROUND($C9*100,0),$J9),1,0))/100,0)</x:f>
        <x:v>50</x:v>
      </x:c>
      <x:c r="H9" s="16" t="n">
        <x:f>IF(E9="是",(INT(ROUND($C9*100,0)/$J9)+IF(COUNTIFS($D9:E9,"是")&lt;=MOD(ROUND($C9*100,0),$J9),1,0))/100,0)</x:f>
        <x:v>50</x:v>
      </x:c>
      <x:c r="I9" s="16" t="n">
        <x:f>IF(F9="是",(INT(ROUND($C9*100,0)/$J9)+IF(COUNTIFS($D9:F9,"是")&lt;=MOD(ROUND($C9*100,0),$J9),1,0))/100,0)</x:f>
        <x:v>0</x:v>
      </x:c>
      <x:c r="J9" s="13" t="n">
        <x:f>COUNTIFS(D9:F9,"是")</x:f>
        <x:v>2</x:v>
      </x:c>
    </x:row>
    <x:row r="10" ht="26" customHeight="1">
      <x:c r="A10" s="5" t="str">
        <x:v>三人打车</x:v>
      </x:c>
      <x:c r="B10" s="5" t="str">
        <x:v>小林</x:v>
      </x:c>
      <x:c r="C10" s="15" t="n">
        <x:v>100</x:v>
      </x:c>
      <x:c r="D10" s="12" t="str">
        <x:v>是</x:v>
      </x:c>
      <x:c r="E10" s="12" t="str">
        <x:v>是</x:v>
      </x:c>
      <x:c r="F10" s="12" t="str">
        <x:v>是</x:v>
      </x:c>
      <x:c r="G10" s="16" t="n">
        <x:f>IF(D10="是",(INT(ROUND($C10*100,0)/$J10)+IF(COUNTIFS($D10:D10,"是")&lt;=MOD(ROUND($C10*100,0),$J10),1,0))/100,0)</x:f>
        <x:v>33.34</x:v>
      </x:c>
      <x:c r="H10" s="16" t="n">
        <x:f>IF(E10="是",(INT(ROUND($C10*100,0)/$J10)+IF(COUNTIFS($D10:E10,"是")&lt;=MOD(ROUND($C10*100,0),$J10),1,0))/100,0)</x:f>
        <x:v>33.33</x:v>
      </x:c>
      <x:c r="I10" s="16" t="n">
        <x:f>IF(F10="是",(INT(ROUND($C10*100,0)/$J10)+IF(COUNTIFS($D10:F10,"是")&lt;=MOD(ROUND($C10*100,0),$J10),1,0))/100,0)</x:f>
        <x:v>33.33</x:v>
      </x:c>
      <x:c r="J10" s="13" t="n">
        <x:f>COUNTIFS(D10:F10,"是")</x:f>
        <x:v>3</x:v>
      </x:c>
    </x:row>
    <x:row r="11" ht="26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6" customHeight="1">
      <x:c r="A12" s="4" t="str">
        <x:v>“代付门票”：小陈付了100元，但只有小林和小周参与，各分摊50元。</x:v>
      </x:c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6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6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35" customHeight="1">
      <x:c r="A15" s="9" t="str">
        <x:v>成员</x:v>
      </x:c>
      <x:c r="B15" s="9" t="str">
        <x:v>已付款</x:v>
      </x:c>
      <x:c r="C15" s="9" t="str">
        <x:v>应分摊</x:v>
      </x:c>
      <x:c r="D15" s="9" t="str">
        <x:v>净额</x:v>
      </x:c>
      <x:c r="E15" s="9" t="str">
        <x:v>应收</x:v>
      </x:c>
      <x:c r="F15" s="9" t="str">
        <x:v>应付</x:v>
      </x:c>
      <x:c r="G15" s="2"/>
      <x:c r="H15" s="2"/>
      <x:c r="I15" s="2"/>
      <x:c r="J15" s="2"/>
    </x:row>
    <x:row r="16" ht="26" customHeight="1">
      <x:c r="A16" s="2" t="str">
        <x:v>小林</x:v>
      </x:c>
      <x:c r="B16" s="18" t="n">
        <x:f>SUMIFS($C$7:$C$10,$B$7:$B$10,A16)</x:f>
        <x:v>400</x:v>
      </x:c>
      <x:c r="C16" s="18" t="n">
        <x:f>SUM(G7:G10)</x:f>
        <x:v>243.34</x:v>
      </x:c>
      <x:c r="D16" s="18" t="n">
        <x:f>ROUND(B16-C16,2)</x:f>
        <x:v>156.66</x:v>
      </x:c>
      <x:c r="E16" s="18" t="n">
        <x:f>MAX(D16,0)</x:f>
        <x:v>156.66</x:v>
      </x:c>
      <x:c r="F16" s="18" t="n">
        <x:f>MAX(-D16,0)</x:f>
        <x:v>0</x:v>
      </x:c>
      <x:c r="G16" s="2"/>
      <x:c r="H16" s="2"/>
      <x:c r="I16" s="2"/>
      <x:c r="J16" s="2"/>
    </x:row>
    <x:row r="17" ht="26" customHeight="1">
      <x:c r="A17" s="2" t="str">
        <x:v>小周</x:v>
      </x:c>
      <x:c r="B17" s="18" t="n">
        <x:f>SUMIFS($C$7:$C$10,$B$7:$B$10,A17)</x:f>
        <x:v>120</x:v>
      </x:c>
      <x:c r="C17" s="18" t="n">
        <x:f>SUM(H7:H10)</x:f>
        <x:v>243.32999999999998</x:v>
      </x:c>
      <x:c r="D17" s="18" t="n">
        <x:f>ROUND(B17-C17,2)</x:f>
        <x:v>-123.33</x:v>
      </x:c>
      <x:c r="E17" s="18" t="n">
        <x:f>MAX(D17,0)</x:f>
        <x:v>0</x:v>
      </x:c>
      <x:c r="F17" s="18" t="n">
        <x:f>MAX(-D17,0)</x:f>
        <x:v>123.33</x:v>
      </x:c>
      <x:c r="G17" s="2"/>
      <x:c r="H17" s="2"/>
      <x:c r="I17" s="2"/>
      <x:c r="J17" s="2"/>
    </x:row>
    <x:row r="18" ht="26" customHeight="1">
      <x:c r="A18" s="2" t="str">
        <x:v>小陈</x:v>
      </x:c>
      <x:c r="B18" s="18" t="n">
        <x:f>SUMIFS($C$7:$C$10,$B$7:$B$10,A18)</x:f>
        <x:v>100</x:v>
      </x:c>
      <x:c r="C18" s="18" t="n">
        <x:f>SUM(I7:I10)</x:f>
        <x:v>133.32999999999998</x:v>
      </x:c>
      <x:c r="D18" s="18" t="n">
        <x:f>ROUND(B18-C18,2)</x:f>
        <x:v>-33.33</x:v>
      </x:c>
      <x:c r="E18" s="18" t="n">
        <x:f>MAX(D18,0)</x:f>
        <x:v>0</x:v>
      </x:c>
      <x:c r="F18" s="18" t="n">
        <x:f>MAX(-D18,0)</x:f>
        <x:v>33.33</x:v>
      </x:c>
      <x:c r="G18" s="2"/>
      <x:c r="H18" s="2"/>
      <x:c r="I18" s="2"/>
      <x:c r="J18" s="2"/>
    </x:row>
    <x:row r="19" ht="26" customHeight="1">
      <x:c r="A19" s="19" t="str">
        <x:v>合计</x:v>
      </x:c>
      <x:c r="B19" s="22" t="n">
        <x:f>SUM(B16:B18)</x:f>
        <x:v>620</x:v>
      </x:c>
      <x:c r="C19" s="22" t="n">
        <x:f>SUM(C16:C18)</x:f>
        <x:v>620</x:v>
      </x:c>
      <x:c r="D19" s="22" t="n">
        <x:f>SUM(D16:D18)</x:f>
        <x:v>0</x:v>
      </x:c>
      <x:c r="E19" s="22" t="n">
        <x:f>SUM(E16:E18)</x:f>
        <x:v>156.66</x:v>
      </x:c>
      <x:c r="F19" s="22" t="n">
        <x:f>SUM(F16:F18)</x:f>
        <x:v>156.66</x:v>
      </x:c>
      <x:c r="G19" s="2"/>
      <x:c r="H19" s="2"/>
      <x:c r="I19" s="2"/>
      <x:c r="J19" s="2"/>
    </x:row>
    <x:row r="20" ht="26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6" customHeight="1">
      <x:c r="A21" s="4" t="str">
        <x:v>示例结果：小林应收156.66元，小周应付123.33元，小陈应付33.33元。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6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6" customHeight="1">
      <x:c r="A23" s="4" t="str">
        <x:v>尾差规则：先按整分均分，再按成员位置顺序给前面的参与者各加1分，直至分完。</x:v>
      </x:c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6" customHeight="1">
      <x:c r="A24" s="4" t="str">
        <x:v>每笔分摊合计等于原金额。同笔参与者之间最多相差1分；多笔累计可能略不均。</x:v>
      </x:c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6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6" customHeight="1">
      <x:c r="A26" s="4" t="str">
        <x:v>回到成员设置开始实际记账。请保留本示例，方便日后核对分摊规则。</x:v>
      </x:c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6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6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</x:sheetData>
  <x:pageMargins left="0.7" right="0.7" top="0.75" bottom="0.75" header="0.3" footer="0.3"/>
</x:worksheet>
</file>